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Customer Directory" sheetId="2" r:id="rId5"/>
    <sheet state="visible" name="Order Data" sheetId="3" r:id="rId6"/>
    <sheet state="visible" name="Task 1" sheetId="4" r:id="rId7"/>
    <sheet state="visible" name="Task 2" sheetId="5" r:id="rId8"/>
    <sheet state="visible" name="Task 3" sheetId="6" r:id="rId9"/>
    <sheet state="visible" name="Task 4" sheetId="7" r:id="rId10"/>
    <sheet state="visible" name="Task 4.1" sheetId="8" r:id="rId11"/>
  </sheets>
  <definedNames>
    <definedName hidden="1" localSheetId="2" name="_xlnm._FilterDatabase">'Order Data'!$A$1:$I$161</definedName>
  </definedNames>
  <calcPr/>
  <pivotCaches>
    <pivotCache cacheId="0" r:id="rId12"/>
    <pivotCache cacheId="1" r:id="rId13"/>
    <pivotCache cacheId="2" r:id="rId14"/>
  </pivotCaches>
  <extLst>
    <ext uri="GoogleSheetsCustomDataVersion2">
      <go:sheetsCustomData xmlns:go="http://customooxmlschemas.google.com/" r:id="rId15" roundtripDataChecksum="obolVz1Qgd7UEJXkuXMSMpWrJDx14k+jZaTw14AA1ek="/>
    </ext>
  </extLst>
</workbook>
</file>

<file path=xl/sharedStrings.xml><?xml version="1.0" encoding="utf-8"?>
<sst xmlns="http://schemas.openxmlformats.org/spreadsheetml/2006/main" count="905" uniqueCount="162">
  <si>
    <t>Excel Skills Test</t>
  </si>
  <si>
    <t>Overview</t>
  </si>
  <si>
    <t>The "Order Data" tab contains 12 months of wholesale order-line data for a consumer packaged goods company. Each row is one line item on a purchase order from a retail customer. Your task is to summarize this data using PivotTables and a VLOOKUP, and answer four questions. A "Customer Directory" reference tab is also included. Please record your screen while you work so we can see your process.</t>
  </si>
  <si>
    <t>Time Target</t>
  </si>
  <si>
    <t>5 to 10 minutes.</t>
  </si>
  <si>
    <t>Column Definitions</t>
  </si>
  <si>
    <t>Order ID: Unique identifier for the purchase order.</t>
  </si>
  <si>
    <t>Order Date: Date the retailer placed the order.</t>
  </si>
  <si>
    <t>Customer: Retail account name.</t>
  </si>
  <si>
    <t>Region: Geographic region the customer is assigned to.</t>
  </si>
  <si>
    <t>Product Category: High-level product grouping.</t>
  </si>
  <si>
    <t>SKU: Individual product identifier.</t>
  </si>
  <si>
    <t>Units: Quantity ordered on this line.</t>
  </si>
  <si>
    <t>Unit Price: Wholesale price per unit in USD.</t>
  </si>
  <si>
    <t>Line Revenue: Units multiplied by Unit Price. Already calculated for you.</t>
  </si>
  <si>
    <t>Tasks</t>
  </si>
  <si>
    <t>Task 1: Revenue by Customer</t>
  </si>
  <si>
    <t>Create a PivotTable on a new sheet called "Task 1" that shows total revenue by Customer, sorted largest to smallest. Which customer generated the most revenue, and how much?</t>
  </si>
  <si>
    <t>Task 2: Quarterly Category Mix</t>
  </si>
  <si>
    <t>Create a PivotTable on a new sheet called "Task 2" that shows total revenue by Product Category (rows) and calendar quarter (columns). Add a Grand Total column. Which category had the highest revenue in Q4?</t>
  </si>
  <si>
    <t>Task 3: Average Order Size</t>
  </si>
  <si>
    <t>Create a PivotTable on a new sheet called "Task 3" that shows the average Line Revenue per order by Customer. Use the Average function in the PivotTable value field settings, not a separate formula. Which customer has the largest average order line value?</t>
  </si>
  <si>
    <t>Task 4: VLOOKUP</t>
  </si>
  <si>
    <t>The "Customer Directory" tab contains account metadata including Sales Rep assignments. On a new sheet called "Task 4", list each Customer in column A. In column B, use a VLOOKUP to pull the assigned Sales Rep from the Customer Directory. In column C, enter each customer's total revenue (you can type the values from Task 1 or use a formula). Which Sales Rep is responsible for the most combined customer revenue?</t>
  </si>
  <si>
    <t>When you are finished, save the file and submit it along with your screen recording. Good luck!</t>
  </si>
  <si>
    <t>Customer</t>
  </si>
  <si>
    <t>Account Tier</t>
  </si>
  <si>
    <t>Sales Rep</t>
  </si>
  <si>
    <t>Payment Terms (Days)</t>
  </si>
  <si>
    <t>Walmart</t>
  </si>
  <si>
    <t>Strategic</t>
  </si>
  <si>
    <t>Karen Olsen</t>
  </si>
  <si>
    <t>Target</t>
  </si>
  <si>
    <t>Kroger</t>
  </si>
  <si>
    <t>Key</t>
  </si>
  <si>
    <t>James Peralta</t>
  </si>
  <si>
    <t>Costco</t>
  </si>
  <si>
    <t>Sam's Club</t>
  </si>
  <si>
    <t>Meijer</t>
  </si>
  <si>
    <t>Growth</t>
  </si>
  <si>
    <t>David Cho</t>
  </si>
  <si>
    <t>HEB</t>
  </si>
  <si>
    <t>Maria Santos</t>
  </si>
  <si>
    <t>Publix</t>
  </si>
  <si>
    <t>Order ID</t>
  </si>
  <si>
    <t>Order Date</t>
  </si>
  <si>
    <t>Region</t>
  </si>
  <si>
    <t>Product Category</t>
  </si>
  <si>
    <t>SKU</t>
  </si>
  <si>
    <t>Units</t>
  </si>
  <si>
    <t>Unit Price</t>
  </si>
  <si>
    <t>Line Revenue</t>
  </si>
  <si>
    <t>PO-1000</t>
  </si>
  <si>
    <t>West</t>
  </si>
  <si>
    <t>Household</t>
  </si>
  <si>
    <t>HH-300</t>
  </si>
  <si>
    <t>Snacks</t>
  </si>
  <si>
    <t>SNK-100</t>
  </si>
  <si>
    <t>Personal Care</t>
  </si>
  <si>
    <t>PC-402</t>
  </si>
  <si>
    <t>PO-1001</t>
  </si>
  <si>
    <t>East</t>
  </si>
  <si>
    <t>PC-400</t>
  </si>
  <si>
    <t>PO-1002</t>
  </si>
  <si>
    <t>PO-1003</t>
  </si>
  <si>
    <t>PC-401</t>
  </si>
  <si>
    <t>PO-1004</t>
  </si>
  <si>
    <t>Central</t>
  </si>
  <si>
    <t>SNK-101</t>
  </si>
  <si>
    <t>PO-1005</t>
  </si>
  <si>
    <t>HH-302</t>
  </si>
  <si>
    <t>Beverages</t>
  </si>
  <si>
    <t>BEV-202</t>
  </si>
  <si>
    <t>PO-1006</t>
  </si>
  <si>
    <t>BEV-200</t>
  </si>
  <si>
    <t>PO-1007</t>
  </si>
  <si>
    <t>PO-1008</t>
  </si>
  <si>
    <t>HH-301</t>
  </si>
  <si>
    <t>PO-1009</t>
  </si>
  <si>
    <t>SNK-102</t>
  </si>
  <si>
    <t>PO-1010</t>
  </si>
  <si>
    <t>PO-1011</t>
  </si>
  <si>
    <t>PO-1012</t>
  </si>
  <si>
    <t>PO-1013</t>
  </si>
  <si>
    <t>PO-1014</t>
  </si>
  <si>
    <t>PO-1015</t>
  </si>
  <si>
    <t>South</t>
  </si>
  <si>
    <t>BEV-201</t>
  </si>
  <si>
    <t>PO-1016</t>
  </si>
  <si>
    <t>PO-1017</t>
  </si>
  <si>
    <t>PO-1018</t>
  </si>
  <si>
    <t>PO-1019</t>
  </si>
  <si>
    <t>PO-1020</t>
  </si>
  <si>
    <t>PO-1021</t>
  </si>
  <si>
    <t>PO-1022</t>
  </si>
  <si>
    <t>PO-1023</t>
  </si>
  <si>
    <t>PO-1024</t>
  </si>
  <si>
    <t>PO-1025</t>
  </si>
  <si>
    <t>PO-1026</t>
  </si>
  <si>
    <t>PO-1027</t>
  </si>
  <si>
    <t>PO-1028</t>
  </si>
  <si>
    <t>PO-1029</t>
  </si>
  <si>
    <t>PO-1030</t>
  </si>
  <si>
    <t>PO-1031</t>
  </si>
  <si>
    <t>PO-1032</t>
  </si>
  <si>
    <t>PO-1033</t>
  </si>
  <si>
    <t>PO-1034</t>
  </si>
  <si>
    <t>PO-1035</t>
  </si>
  <si>
    <t>PO-1036</t>
  </si>
  <si>
    <t>PO-1037</t>
  </si>
  <si>
    <t>PO-1038</t>
  </si>
  <si>
    <t>PO-1039</t>
  </si>
  <si>
    <t>PO-1040</t>
  </si>
  <si>
    <t>PO-1041</t>
  </si>
  <si>
    <t>PO-1042</t>
  </si>
  <si>
    <t>PO-1043</t>
  </si>
  <si>
    <t>PO-1044</t>
  </si>
  <si>
    <t>PO-1045</t>
  </si>
  <si>
    <t>PO-1046</t>
  </si>
  <si>
    <t>PO-1047</t>
  </si>
  <si>
    <t>PO-1048</t>
  </si>
  <si>
    <t>PO-1049</t>
  </si>
  <si>
    <t>PO-1050</t>
  </si>
  <si>
    <t>PO-1051</t>
  </si>
  <si>
    <t>PO-1052</t>
  </si>
  <si>
    <t>PO-1053</t>
  </si>
  <si>
    <t>PO-1054</t>
  </si>
  <si>
    <t>PO-1055</t>
  </si>
  <si>
    <t>PO-1056</t>
  </si>
  <si>
    <t>PO-1057</t>
  </si>
  <si>
    <t>PO-1058</t>
  </si>
  <si>
    <t>PO-1059</t>
  </si>
  <si>
    <t>PO-1060</t>
  </si>
  <si>
    <t>PO-1061</t>
  </si>
  <si>
    <t>PO-1062</t>
  </si>
  <si>
    <t>PO-1063</t>
  </si>
  <si>
    <t>PO-1064</t>
  </si>
  <si>
    <t>PO-1065</t>
  </si>
  <si>
    <t>PO-1066</t>
  </si>
  <si>
    <t>PO-1067</t>
  </si>
  <si>
    <t>PO-1068</t>
  </si>
  <si>
    <t>PO-1069</t>
  </si>
  <si>
    <t>PO-1070</t>
  </si>
  <si>
    <t>PO-1071</t>
  </si>
  <si>
    <t>PO-1072</t>
  </si>
  <si>
    <t>PO-1073</t>
  </si>
  <si>
    <t>PO-1074</t>
  </si>
  <si>
    <t>PO-1075</t>
  </si>
  <si>
    <t>PO-1076</t>
  </si>
  <si>
    <t>PO-1077</t>
  </si>
  <si>
    <t>PO-1078</t>
  </si>
  <si>
    <t>PO-1079</t>
  </si>
  <si>
    <t>SUM of Line Revenue</t>
  </si>
  <si>
    <t>Order Date - Year-Quarter</t>
  </si>
  <si>
    <t>2025-Q3</t>
  </si>
  <si>
    <t>2025-Q4</t>
  </si>
  <si>
    <t>2025-Q1</t>
  </si>
  <si>
    <t>2025-Q2</t>
  </si>
  <si>
    <t>Grand Total</t>
  </si>
  <si>
    <t>AVERAGE of Line Revenue</t>
  </si>
  <si>
    <t>total revenue</t>
  </si>
  <si>
    <t>SUM of total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</si>
</sst>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\$#,##0.00"/>
    <numFmt numFmtId="166" formatCode="m/d/yyyy h:mm:ss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1F4E79"/>
      <name val="Arial"/>
    </font>
    <font>
      <b/>
      <sz val="11.0"/>
      <color rgb="FF1F4E79"/>
      <name val="Arial"/>
    </font>
    <font>
      <sz val="11.0"/>
      <color theme="1"/>
      <name val="Arial"/>
    </font>
    <font>
      <b/>
      <sz val="11.0"/>
      <color theme="1"/>
      <name val="Arial"/>
    </font>
    <font>
      <i/>
      <sz val="11.0"/>
      <color rgb="FF555555"/>
      <name val="Arial"/>
    </font>
    <font>
      <b/>
      <sz val="11.0"/>
      <color rgb="FFFFFFFF"/>
      <name val="Arial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48235"/>
        <bgColor rgb="FF548235"/>
      </patternFill>
    </fill>
    <fill>
      <patternFill patternType="solid">
        <fgColor rgb="FF1F4E79"/>
        <bgColor rgb="FF1F4E79"/>
      </patternFill>
    </fill>
  </fills>
  <borders count="4">
    <border/>
    <border>
      <left/>
      <right/>
      <top/>
      <bottom/>
    </border>
    <border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1"/>
    </xf>
    <xf borderId="0" fillId="0" fontId="6" numFmtId="0" xfId="0" applyAlignment="1" applyFont="1">
      <alignment shrinkToFit="0" vertical="top" wrapText="1"/>
    </xf>
    <xf borderId="1" fillId="2" fontId="7" numFmtId="0" xfId="0" applyAlignment="1" applyBorder="1" applyFill="1" applyFont="1">
      <alignment horizontal="center"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4" numFmtId="1" xfId="0" applyAlignment="1" applyBorder="1" applyFont="1" applyNumberFormat="1">
      <alignment shrinkToFit="0" vertical="bottom" wrapText="0"/>
    </xf>
    <xf borderId="0" fillId="0" fontId="8" numFmtId="0" xfId="0" applyFont="1"/>
    <xf borderId="0" fillId="0" fontId="9" numFmtId="0" xfId="0" applyFont="1"/>
    <xf borderId="1" fillId="3" fontId="7" numFmtId="0" xfId="0" applyAlignment="1" applyBorder="1" applyFill="1" applyFont="1">
      <alignment horizontal="center" shrinkToFit="0" vertical="bottom" wrapText="0"/>
    </xf>
    <xf borderId="2" fillId="0" fontId="4" numFmtId="164" xfId="0" applyAlignment="1" applyBorder="1" applyFont="1" applyNumberFormat="1">
      <alignment shrinkToFit="0" vertical="bottom" wrapText="0"/>
    </xf>
    <xf borderId="2" fillId="0" fontId="4" numFmtId="3" xfId="0" applyAlignment="1" applyBorder="1" applyFont="1" applyNumberFormat="1">
      <alignment shrinkToFit="0" vertical="bottom" wrapText="0"/>
    </xf>
    <xf borderId="2" fillId="0" fontId="4" numFmtId="165" xfId="0" applyAlignment="1" applyBorder="1" applyFont="1" applyNumberFormat="1">
      <alignment shrinkToFit="0" vertical="bottom" wrapText="0"/>
    </xf>
    <xf borderId="0" fillId="0" fontId="10" numFmtId="0" xfId="0" applyFont="1"/>
    <xf borderId="0" fillId="0" fontId="10" numFmtId="165" xfId="0" applyFont="1" applyNumberFormat="1"/>
    <xf borderId="0" fillId="0" fontId="10" numFmtId="166" xfId="0" applyFont="1" applyNumberFormat="1"/>
    <xf borderId="3" fillId="0" fontId="11" numFmtId="0" xfId="0" applyAlignment="1" applyBorder="1" applyFont="1">
      <alignment readingOrder="0"/>
    </xf>
    <xf borderId="3" fillId="0" fontId="10" numFmtId="0" xfId="0" applyBorder="1" applyFont="1"/>
    <xf borderId="3" fillId="0" fontId="10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61" sheet="Order Data"/>
  </cacheSource>
  <cacheFields>
    <cacheField name="Order ID" numFmtId="0">
      <sharedItems>
        <s v="PO-1000"/>
        <s v="PO-1001"/>
        <s v="PO-1002"/>
        <s v="PO-1003"/>
        <s v="PO-1004"/>
        <s v="PO-1005"/>
        <s v="PO-1006"/>
        <s v="PO-1007"/>
        <s v="PO-1008"/>
        <s v="PO-1009"/>
        <s v="PO-1010"/>
        <s v="PO-1011"/>
        <s v="PO-1012"/>
        <s v="PO-1013"/>
        <s v="PO-1014"/>
        <s v="PO-1015"/>
        <s v="PO-1016"/>
        <s v="PO-1017"/>
        <s v="PO-1018"/>
        <s v="PO-1019"/>
        <s v="PO-1020"/>
        <s v="PO-1021"/>
        <s v="PO-1022"/>
        <s v="PO-1023"/>
        <s v="PO-1024"/>
        <s v="PO-1025"/>
        <s v="PO-1026"/>
        <s v="PO-1027"/>
        <s v="PO-1028"/>
        <s v="PO-1029"/>
        <s v="PO-1030"/>
        <s v="PO-1031"/>
        <s v="PO-1032"/>
        <s v="PO-1033"/>
        <s v="PO-1034"/>
        <s v="PO-1035"/>
        <s v="PO-1036"/>
        <s v="PO-1037"/>
        <s v="PO-1038"/>
        <s v="PO-1039"/>
        <s v="PO-1040"/>
        <s v="PO-1041"/>
        <s v="PO-1042"/>
        <s v="PO-1043"/>
        <s v="PO-1044"/>
        <s v="PO-1045"/>
        <s v="PO-1046"/>
        <s v="PO-1047"/>
        <s v="PO-1048"/>
        <s v="PO-1049"/>
        <s v="PO-1050"/>
        <s v="PO-1051"/>
        <s v="PO-1052"/>
        <s v="PO-1053"/>
        <s v="PO-1054"/>
        <s v="PO-1055"/>
        <s v="PO-1056"/>
        <s v="PO-1057"/>
        <s v="PO-1058"/>
        <s v="PO-1059"/>
        <s v="PO-1060"/>
        <s v="PO-1061"/>
        <s v="PO-1062"/>
        <s v="PO-1063"/>
        <s v="PO-1064"/>
        <s v="PO-1065"/>
        <s v="PO-1066"/>
        <s v="PO-1067"/>
        <s v="PO-1068"/>
        <s v="PO-1069"/>
        <s v="PO-1070"/>
        <s v="PO-1071"/>
        <s v="PO-1072"/>
        <s v="PO-1073"/>
        <s v="PO-1074"/>
        <s v="PO-1075"/>
        <s v="PO-1076"/>
        <s v="PO-1077"/>
        <s v="PO-1078"/>
        <s v="PO-1079"/>
      </sharedItems>
    </cacheField>
    <cacheField name="Order Date" numFmtId="164">
      <sharedItems containsSemiMixedTypes="0" containsDate="1" containsString="0">
        <d v="2025-01-13T00:00:00Z"/>
        <d v="2025-10-30T00:00:00Z"/>
        <d v="2025-10-15T00:00:00Z"/>
        <d v="2025-01-04T00:00:00Z"/>
        <d v="2025-06-22T00:00:00Z"/>
        <d v="2025-06-26T00:00:00Z"/>
        <d v="2025-11-13T00:00:00Z"/>
        <d v="2025-02-10T00:00:00Z"/>
        <d v="2025-07-06T00:00:00Z"/>
        <d v="2025-12-26T00:00:00Z"/>
        <d v="2025-11-24T00:00:00Z"/>
        <d v="2025-04-19T00:00:00Z"/>
        <d v="2025-01-25T00:00:00Z"/>
        <d v="2025-08-05T00:00:00Z"/>
        <d v="2025-12-15T00:00:00Z"/>
        <d v="2025-05-15T00:00:00Z"/>
        <d v="2025-03-24T00:00:00Z"/>
        <d v="2025-06-07T00:00:00Z"/>
        <d v="2025-03-06T00:00:00Z"/>
        <d v="2025-11-07T00:00:00Z"/>
        <d v="2025-12-10T00:00:00Z"/>
        <d v="2025-04-28T00:00:00Z"/>
        <d v="2025-06-19T00:00:00Z"/>
        <d v="2025-10-04T00:00:00Z"/>
        <d v="2025-07-28T00:00:00Z"/>
        <d v="2025-07-26T00:00:00Z"/>
        <d v="2025-08-25T00:00:00Z"/>
        <d v="2025-10-09T00:00:00Z"/>
        <d v="2025-02-17T00:00:00Z"/>
        <d v="2025-07-25T00:00:00Z"/>
        <d v="2025-05-16T00:00:00Z"/>
        <d v="2025-03-21T00:00:00Z"/>
        <d v="2025-10-05T00:00:00Z"/>
        <d v="2025-09-15T00:00:00Z"/>
        <d v="2025-03-03T00:00:00Z"/>
        <d v="2025-05-14T00:00:00Z"/>
        <d v="2025-04-20T00:00:00Z"/>
        <d v="2025-10-06T00:00:00Z"/>
        <d v="2025-03-10T00:00:00Z"/>
        <d v="2025-04-18T00:00:00Z"/>
        <d v="2025-05-22T00:00:00Z"/>
        <d v="2025-01-05T00:00:00Z"/>
        <d v="2025-01-19T00:00:00Z"/>
        <d v="2025-01-21T00:00:00Z"/>
        <d v="2025-07-30T00:00:00Z"/>
        <d v="2025-04-13T00:00:00Z"/>
        <d v="2025-06-18T00:00:00Z"/>
        <d v="2025-10-02T00:00:00Z"/>
        <d v="2025-11-02T00:00:00Z"/>
        <d v="2025-10-23T00:00:00Z"/>
        <d v="2025-09-24T00:00:00Z"/>
        <d v="2025-03-05T00:00:00Z"/>
        <d v="2025-04-09T00:00:00Z"/>
        <d v="2025-07-27T00:00:00Z"/>
        <d v="2025-08-15T00:00:00Z"/>
        <d v="2025-11-14T00:00:00Z"/>
        <d v="2025-02-07T00:00:00Z"/>
        <d v="2025-07-24T00:00:00Z"/>
        <d v="2025-02-24T00:00:00Z"/>
        <d v="2025-03-04T00:00:00Z"/>
        <d v="2025-11-23T00:00:00Z"/>
        <d v="2025-05-01T00:00:00Z"/>
        <d v="2025-12-22T00:00:00Z"/>
        <d v="2025-10-27T00:00:00Z"/>
        <d v="2025-08-03T00:00:00Z"/>
        <d v="2025-01-14T00:00:00Z"/>
        <d v="2025-01-26T00:00:00Z"/>
        <d v="2025-07-14T00:00:00Z"/>
        <d v="2025-06-29T00:00:00Z"/>
        <d v="2025-05-07T00:00:00Z"/>
      </sharedItems>
    </cacheField>
    <cacheField name="Customer" numFmtId="0">
      <sharedItems>
        <s v="Costco"/>
        <s v="Kroger"/>
        <s v="Walmart"/>
        <s v="Target"/>
        <s v="Meijer"/>
        <s v="Sam's Club"/>
        <s v="Publix"/>
        <s v="HEB"/>
      </sharedItems>
    </cacheField>
    <cacheField name="Region" numFmtId="0">
      <sharedItems>
        <s v="West"/>
        <s v="East"/>
        <s v="Central"/>
        <s v="South"/>
      </sharedItems>
    </cacheField>
    <cacheField name="Product Category" numFmtId="0">
      <sharedItems>
        <s v="Household"/>
        <s v="Snacks"/>
        <s v="Personal Care"/>
        <s v="Beverages"/>
      </sharedItems>
    </cacheField>
    <cacheField name="SKU" numFmtId="0">
      <sharedItems>
        <s v="HH-300"/>
        <s v="SNK-100"/>
        <s v="PC-402"/>
        <s v="PC-400"/>
        <s v="PC-401"/>
        <s v="SNK-101"/>
        <s v="HH-302"/>
        <s v="BEV-202"/>
        <s v="BEV-200"/>
        <s v="HH-301"/>
        <s v="SNK-102"/>
        <s v="BEV-201"/>
      </sharedItems>
    </cacheField>
    <cacheField name="Units" numFmtId="3">
      <sharedItems containsSemiMixedTypes="0" containsString="0" containsNumber="1" containsInteger="1">
        <n v="1558.0"/>
        <n v="1435.0"/>
        <n v="1877.0"/>
        <n v="497.0"/>
        <n v="1084.0"/>
        <n v="969.0"/>
        <n v="619.0"/>
        <n v="248.0"/>
        <n v="305.0"/>
        <n v="211.0"/>
        <n v="650.0"/>
        <n v="143.0"/>
        <n v="516.0"/>
        <n v="479.0"/>
        <n v="1543.0"/>
        <n v="384.0"/>
        <n v="827.0"/>
        <n v="519.0"/>
        <n v="1698.0"/>
        <n v="871.0"/>
        <n v="1861.0"/>
        <n v="989.0"/>
        <n v="592.0"/>
        <n v="867.0"/>
        <n v="499.0"/>
        <n v="1093.0"/>
        <n v="377.0"/>
        <n v="1008.0"/>
        <n v="564.0"/>
        <n v="1812.0"/>
        <n v="746.0"/>
        <n v="651.0"/>
        <n v="373.0"/>
        <n v="661.0"/>
        <n v="1089.0"/>
        <n v="457.0"/>
        <n v="89.0"/>
        <n v="1952.0"/>
        <n v="1849.0"/>
        <n v="1848.0"/>
        <n v="1607.0"/>
        <n v="388.0"/>
        <n v="1462.0"/>
        <n v="1510.0"/>
        <n v="557.0"/>
        <n v="181.0"/>
        <n v="93.0"/>
        <n v="1342.0"/>
        <n v="518.0"/>
        <n v="1904.0"/>
        <n v="1420.0"/>
        <n v="1656.0"/>
        <n v="1399.0"/>
        <n v="1429.0"/>
        <n v="1373.0"/>
        <n v="439.0"/>
        <n v="968.0"/>
        <n v="914.0"/>
        <n v="1704.0"/>
        <n v="1157.0"/>
        <n v="1044.0"/>
        <n v="54.0"/>
        <n v="1546.0"/>
        <n v="1405.0"/>
        <n v="169.0"/>
        <n v="152.0"/>
        <n v="190.0"/>
        <n v="189.0"/>
        <n v="1815.0"/>
        <n v="217.0"/>
        <n v="1396.0"/>
        <n v="1207.0"/>
        <n v="593.0"/>
        <n v="69.0"/>
        <n v="1322.0"/>
        <n v="254.0"/>
        <n v="1850.0"/>
        <n v="806.0"/>
        <n v="1723.0"/>
        <n v="663.0"/>
        <n v="262.0"/>
        <n v="1183.0"/>
        <n v="607.0"/>
        <n v="1050.0"/>
        <n v="239.0"/>
        <n v="1629.0"/>
        <n v="1495.0"/>
        <n v="1901.0"/>
        <n v="135.0"/>
        <n v="796.0"/>
        <n v="1415.0"/>
        <n v="774.0"/>
        <n v="1855.0"/>
        <n v="100.0"/>
        <n v="271.0"/>
        <n v="1836.0"/>
        <n v="1808.0"/>
        <n v="506.0"/>
        <n v="1401.0"/>
        <n v="1363.0"/>
        <n v="868.0"/>
        <n v="415.0"/>
        <n v="943.0"/>
        <n v="1097.0"/>
        <n v="1501.0"/>
        <n v="1993.0"/>
        <n v="1935.0"/>
        <n v="1326.0"/>
        <n v="886.0"/>
        <n v="874.0"/>
        <n v="655.0"/>
        <n v="1898.0"/>
        <n v="1310.0"/>
        <n v="930.0"/>
        <n v="1292.0"/>
        <n v="709.0"/>
        <n v="397.0"/>
        <n v="223.0"/>
        <n v="1105.0"/>
        <n v="685.0"/>
        <n v="1701.0"/>
        <n v="1301.0"/>
        <n v="448.0"/>
        <n v="1476.0"/>
        <n v="1458.0"/>
        <n v="1110.0"/>
        <n v="1137.0"/>
        <n v="1269.0"/>
        <n v="1573.0"/>
        <n v="971.0"/>
        <n v="1589.0"/>
        <n v="612.0"/>
        <n v="208.0"/>
        <n v="215.0"/>
        <n v="358.0"/>
        <n v="899.0"/>
        <n v="1755.0"/>
        <n v="847.0"/>
        <n v="62.0"/>
        <n v="1797.0"/>
        <n v="942.0"/>
        <n v="109.0"/>
        <n v="738.0"/>
        <n v="1143.0"/>
        <n v="1907.0"/>
        <n v="1262.0"/>
        <n v="1825.0"/>
        <n v="981.0"/>
        <n v="741.0"/>
        <n v="1013.0"/>
        <n v="1584.0"/>
        <n v="132.0"/>
        <n v="362.0"/>
      </sharedItems>
    </cacheField>
    <cacheField name="Unit Price" numFmtId="165">
      <sharedItems containsSemiMixedTypes="0" containsString="0" containsNumber="1">
        <n v="5.99"/>
        <n v="3.49"/>
        <n v="3.79"/>
        <n v="6.29"/>
        <n v="8.99"/>
        <n v="4.29"/>
        <n v="4.49"/>
        <n v="3.19"/>
        <n v="1.89"/>
        <n v="7.49"/>
        <n v="2.99"/>
        <n v="2.49"/>
      </sharedItems>
    </cacheField>
    <cacheField name="Line Revenue" numFmtId="165">
      <sharedItems containsSemiMixedTypes="0" containsString="0" containsNumber="1">
        <n v="9332.42"/>
        <n v="5008.150000000001"/>
        <n v="7113.83"/>
        <n v="1734.5300000000002"/>
        <n v="6818.36"/>
        <n v="6095.01"/>
        <n v="5564.81"/>
        <n v="1063.92"/>
        <n v="1369.45"/>
        <n v="905.19"/>
        <n v="2073.5"/>
        <n v="270.27"/>
        <n v="2316.84"/>
        <n v="2655.51"/>
        <n v="3587.71"/>
        <n v="4613.570000000001"/>
        <n v="2300.16"/>
        <n v="7434.7300000000005"/>
        <n v="980.91"/>
        <n v="10171.02"/>
        <n v="7830.29"/>
        <n v="13938.890000000001"/>
        <n v="2957.11"/>
        <n v="1118.8799999999999"/>
        <n v="3892.8300000000004"/>
        <n v="4486.01"/>
        <n v="2065.77"/>
        <n v="1202.6299999999999"/>
        <n v="3013.92"/>
        <n v="1799.16"/>
        <n v="8135.88"/>
        <n v="2230.54"/>
        <n v="3899.4900000000002"/>
        <n v="928.7700000000001"/>
        <n v="2108.59"/>
        <n v="4889.610000000001"/>
        <n v="1366.43"/>
        <n v="381.81"/>
        <n v="11692.48"/>
        <n v="4604.01"/>
        <n v="6449.52"/>
        <n v="10108.03"/>
        <n v="1470.52"/>
        <n v="4663.78"/>
        <n v="9044.9"/>
        <n v="3336.4300000000003"/>
        <n v="342.09"/>
        <n v="836.07"/>
        <n v="4280.98"/>
        <n v="1807.8200000000002"/>
        <n v="11404.960000000001"/>
        <n v="3535.8"/>
        <n v="10416.24"/>
        <n v="4882.51"/>
        <n v="8988.41"/>
        <n v="6164.77"/>
        <n v="2629.61"/>
        <n v="2894.32"/>
        <n v="5749.06"/>
        <n v="7310.16"/>
        <n v="3459.4300000000003"/>
        <n v="2599.5600000000004"/>
        <n v="134.46"/>
        <n v="6941.54"/>
        <n v="4481.95"/>
        <n v="1012.3100000000001"/>
        <n v="910.48"/>
        <n v="359.09999999999997"/>
        <n v="565.11"/>
        <n v="8149.35"/>
        <n v="692.23"/>
        <n v="10456.04"/>
        <n v="3608.9300000000003"/>
        <n v="3552.07"/>
        <n v="413.31"/>
        <n v="3291.78"/>
        <n v="962.66"/>
        <n v="11081.5"/>
        <n v="2812.94"/>
        <n v="7736.27"/>
        <n v="2512.77"/>
        <n v="783.3800000000001"/>
        <n v="3537.17"/>
        <n v="3818.03"/>
        <n v="4714.5"/>
        <n v="8168.16"/>
        <n v="451.71"/>
        <n v="6988.41"/>
        <n v="5666.05"/>
        <n v="5683.990000000001"/>
        <n v="255.14999999999998"/>
        <n v="7156.04"/>
        <n v="2674.35"/>
        <n v="4636.26"/>
        <n v="3505.95"/>
        <n v="429.0"/>
        <n v="864.49"/>
        <n v="16505.64"/>
        <n v="6309.92"/>
        <n v="3030.94"/>
        <n v="2647.89"/>
        <n v="5847.27"/>
        <n v="2768.92"/>
        <n v="1780.35"/>
        <n v="2247.47"/>
        <n v="7063.070000000001"/>
        <n v="4157.63"/>
        <n v="8990.99"/>
        <n v="3766.77"/>
        <n v="7333.65"/>
        <n v="9931.74"/>
        <n v="3978.1400000000003"/>
        <n v="7857.26"/>
        <n v="2089.45"/>
        <n v="7193.42"/>
        <n v="7846.900000000001"/>
        <n v="3245.7000000000003"/>
        <n v="4121.48"/>
        <n v="3183.4100000000003"/>
        <n v="1266.43"/>
        <n v="1001.2700000000001"/>
        <n v="9933.95"/>
        <n v="2048.15"/>
        <n v="10699.29"/>
        <n v="3239.4900000000002"/>
        <n v="1697.92"/>
        <n v="6627.240000000001"/>
        <n v="4651.0199999999995"/>
        <n v="3540.9"/>
        <n v="652.08"/>
        <n v="3627.0299999999997"/>
        <n v="4809.51"/>
        <n v="9894.17"/>
        <n v="7272.79"/>
        <n v="3956.61"/>
        <n v="3849.48"/>
        <n v="1557.92"/>
        <n v="965.35"/>
        <n v="676.62"/>
        <n v="1699.11"/>
        <n v="11038.95"/>
        <n v="3633.63"/>
        <n v="265.98"/>
        <n v="4950.89"/>
        <n v="4474.530000000001"/>
        <n v="2345.5800000000004"/>
        <n v="979.91"/>
        <n v="3166.02"/>
        <n v="3646.17"/>
        <n v="11995.03"/>
        <n v="5413.9800000000005"/>
        <n v="11479.25"/>
        <n v="6170.49"/>
        <n v="1845.0900000000001"/>
        <n v="6371.77"/>
        <n v="2993.7599999999998"/>
        <n v="394.68"/>
        <n v="1082.3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61" sheet="Order Data"/>
  </cacheSource>
  <cacheFields>
    <cacheField name="Order ID" numFmtId="0">
      <sharedItems>
        <s v="PO-1000"/>
        <s v="PO-1001"/>
        <s v="PO-1002"/>
        <s v="PO-1003"/>
        <s v="PO-1004"/>
        <s v="PO-1005"/>
        <s v="PO-1006"/>
        <s v="PO-1007"/>
        <s v="PO-1008"/>
        <s v="PO-1009"/>
        <s v="PO-1010"/>
        <s v="PO-1011"/>
        <s v="PO-1012"/>
        <s v="PO-1013"/>
        <s v="PO-1014"/>
        <s v="PO-1015"/>
        <s v="PO-1016"/>
        <s v="PO-1017"/>
        <s v="PO-1018"/>
        <s v="PO-1019"/>
        <s v="PO-1020"/>
        <s v="PO-1021"/>
        <s v="PO-1022"/>
        <s v="PO-1023"/>
        <s v="PO-1024"/>
        <s v="PO-1025"/>
        <s v="PO-1026"/>
        <s v="PO-1027"/>
        <s v="PO-1028"/>
        <s v="PO-1029"/>
        <s v="PO-1030"/>
        <s v="PO-1031"/>
        <s v="PO-1032"/>
        <s v="PO-1033"/>
        <s v="PO-1034"/>
        <s v="PO-1035"/>
        <s v="PO-1036"/>
        <s v="PO-1037"/>
        <s v="PO-1038"/>
        <s v="PO-1039"/>
        <s v="PO-1040"/>
        <s v="PO-1041"/>
        <s v="PO-1042"/>
        <s v="PO-1043"/>
        <s v="PO-1044"/>
        <s v="PO-1045"/>
        <s v="PO-1046"/>
        <s v="PO-1047"/>
        <s v="PO-1048"/>
        <s v="PO-1049"/>
        <s v="PO-1050"/>
        <s v="PO-1051"/>
        <s v="PO-1052"/>
        <s v="PO-1053"/>
        <s v="PO-1054"/>
        <s v="PO-1055"/>
        <s v="PO-1056"/>
        <s v="PO-1057"/>
        <s v="PO-1058"/>
        <s v="PO-1059"/>
        <s v="PO-1060"/>
        <s v="PO-1061"/>
        <s v="PO-1062"/>
        <s v="PO-1063"/>
        <s v="PO-1064"/>
        <s v="PO-1065"/>
        <s v="PO-1066"/>
        <s v="PO-1067"/>
        <s v="PO-1068"/>
        <s v="PO-1069"/>
        <s v="PO-1070"/>
        <s v="PO-1071"/>
        <s v="PO-1072"/>
        <s v="PO-1073"/>
        <s v="PO-1074"/>
        <s v="PO-1075"/>
        <s v="PO-1076"/>
        <s v="PO-1077"/>
        <s v="PO-1078"/>
        <s v="PO-1079"/>
      </sharedItems>
    </cacheField>
    <cacheField name="Order Date" numFmtId="164">
      <sharedItems containsSemiMixedTypes="0" containsDate="1" containsString="0">
        <d v="2025-01-13T00:00:00Z"/>
        <d v="2025-10-30T00:00:00Z"/>
        <d v="2025-10-15T00:00:00Z"/>
        <d v="2025-01-04T00:00:00Z"/>
        <d v="2025-06-22T00:00:00Z"/>
        <d v="2025-06-26T00:00:00Z"/>
        <d v="2025-11-13T00:00:00Z"/>
        <d v="2025-02-10T00:00:00Z"/>
        <d v="2025-07-06T00:00:00Z"/>
        <d v="2025-12-26T00:00:00Z"/>
        <d v="2025-11-24T00:00:00Z"/>
        <d v="2025-04-19T00:00:00Z"/>
        <d v="2025-01-25T00:00:00Z"/>
        <d v="2025-08-05T00:00:00Z"/>
        <d v="2025-12-15T00:00:00Z"/>
        <d v="2025-05-15T00:00:00Z"/>
        <d v="2025-03-24T00:00:00Z"/>
        <d v="2025-06-07T00:00:00Z"/>
        <d v="2025-03-06T00:00:00Z"/>
        <d v="2025-11-07T00:00:00Z"/>
        <d v="2025-12-10T00:00:00Z"/>
        <d v="2025-04-28T00:00:00Z"/>
        <d v="2025-06-19T00:00:00Z"/>
        <d v="2025-10-04T00:00:00Z"/>
        <d v="2025-07-28T00:00:00Z"/>
        <d v="2025-07-26T00:00:00Z"/>
        <d v="2025-08-25T00:00:00Z"/>
        <d v="2025-10-09T00:00:00Z"/>
        <d v="2025-02-17T00:00:00Z"/>
        <d v="2025-07-25T00:00:00Z"/>
        <d v="2025-05-16T00:00:00Z"/>
        <d v="2025-03-21T00:00:00Z"/>
        <d v="2025-10-05T00:00:00Z"/>
        <d v="2025-09-15T00:00:00Z"/>
        <d v="2025-03-03T00:00:00Z"/>
        <d v="2025-05-14T00:00:00Z"/>
        <d v="2025-04-20T00:00:00Z"/>
        <d v="2025-10-06T00:00:00Z"/>
        <d v="2025-03-10T00:00:00Z"/>
        <d v="2025-04-18T00:00:00Z"/>
        <d v="2025-05-22T00:00:00Z"/>
        <d v="2025-01-05T00:00:00Z"/>
        <d v="2025-01-19T00:00:00Z"/>
        <d v="2025-01-21T00:00:00Z"/>
        <d v="2025-07-30T00:00:00Z"/>
        <d v="2025-04-13T00:00:00Z"/>
        <d v="2025-06-18T00:00:00Z"/>
        <d v="2025-10-02T00:00:00Z"/>
        <d v="2025-11-02T00:00:00Z"/>
        <d v="2025-10-23T00:00:00Z"/>
        <d v="2025-09-24T00:00:00Z"/>
        <d v="2025-03-05T00:00:00Z"/>
        <d v="2025-04-09T00:00:00Z"/>
        <d v="2025-07-27T00:00:00Z"/>
        <d v="2025-08-15T00:00:00Z"/>
        <d v="2025-11-14T00:00:00Z"/>
        <d v="2025-02-07T00:00:00Z"/>
        <d v="2025-07-24T00:00:00Z"/>
        <d v="2025-02-24T00:00:00Z"/>
        <d v="2025-03-04T00:00:00Z"/>
        <d v="2025-11-23T00:00:00Z"/>
        <d v="2025-05-01T00:00:00Z"/>
        <d v="2025-12-22T00:00:00Z"/>
        <d v="2025-10-27T00:00:00Z"/>
        <d v="2025-08-03T00:00:00Z"/>
        <d v="2025-01-14T00:00:00Z"/>
        <d v="2025-01-26T00:00:00Z"/>
        <d v="2025-07-14T00:00:00Z"/>
        <d v="2025-06-29T00:00:00Z"/>
        <d v="2025-05-07T00:00:00Z"/>
      </sharedItems>
    </cacheField>
    <cacheField name="Customer" numFmtId="0">
      <sharedItems>
        <s v="Costco"/>
        <s v="Kroger"/>
        <s v="Walmart"/>
        <s v="Target"/>
        <s v="Meijer"/>
        <s v="Sam's Club"/>
        <s v="Publix"/>
        <s v="HEB"/>
      </sharedItems>
    </cacheField>
    <cacheField name="Region" numFmtId="0">
      <sharedItems>
        <s v="West"/>
        <s v="East"/>
        <s v="Central"/>
        <s v="South"/>
      </sharedItems>
    </cacheField>
    <cacheField name="Product Category" numFmtId="0">
      <sharedItems>
        <s v="Household"/>
        <s v="Snacks"/>
        <s v="Personal Care"/>
        <s v="Beverages"/>
      </sharedItems>
    </cacheField>
    <cacheField name="SKU" numFmtId="0">
      <sharedItems>
        <s v="HH-300"/>
        <s v="SNK-100"/>
        <s v="PC-402"/>
        <s v="PC-400"/>
        <s v="PC-401"/>
        <s v="SNK-101"/>
        <s v="HH-302"/>
        <s v="BEV-202"/>
        <s v="BEV-200"/>
        <s v="HH-301"/>
        <s v="SNK-102"/>
        <s v="BEV-201"/>
      </sharedItems>
    </cacheField>
    <cacheField name="Units" numFmtId="3">
      <sharedItems containsSemiMixedTypes="0" containsString="0" containsNumber="1" containsInteger="1">
        <n v="1558.0"/>
        <n v="1435.0"/>
        <n v="1877.0"/>
        <n v="497.0"/>
        <n v="1084.0"/>
        <n v="969.0"/>
        <n v="619.0"/>
        <n v="248.0"/>
        <n v="305.0"/>
        <n v="211.0"/>
        <n v="650.0"/>
        <n v="143.0"/>
        <n v="516.0"/>
        <n v="479.0"/>
        <n v="1543.0"/>
        <n v="384.0"/>
        <n v="827.0"/>
        <n v="519.0"/>
        <n v="1698.0"/>
        <n v="871.0"/>
        <n v="1861.0"/>
        <n v="989.0"/>
        <n v="592.0"/>
        <n v="867.0"/>
        <n v="499.0"/>
        <n v="1093.0"/>
        <n v="377.0"/>
        <n v="1008.0"/>
        <n v="564.0"/>
        <n v="1812.0"/>
        <n v="746.0"/>
        <n v="651.0"/>
        <n v="373.0"/>
        <n v="661.0"/>
        <n v="1089.0"/>
        <n v="457.0"/>
        <n v="89.0"/>
        <n v="1952.0"/>
        <n v="1849.0"/>
        <n v="1848.0"/>
        <n v="1607.0"/>
        <n v="388.0"/>
        <n v="1462.0"/>
        <n v="1510.0"/>
        <n v="557.0"/>
        <n v="181.0"/>
        <n v="93.0"/>
        <n v="1342.0"/>
        <n v="518.0"/>
        <n v="1904.0"/>
        <n v="1420.0"/>
        <n v="1656.0"/>
        <n v="1399.0"/>
        <n v="1429.0"/>
        <n v="1373.0"/>
        <n v="439.0"/>
        <n v="968.0"/>
        <n v="914.0"/>
        <n v="1704.0"/>
        <n v="1157.0"/>
        <n v="1044.0"/>
        <n v="54.0"/>
        <n v="1546.0"/>
        <n v="1405.0"/>
        <n v="169.0"/>
        <n v="152.0"/>
        <n v="190.0"/>
        <n v="189.0"/>
        <n v="1815.0"/>
        <n v="217.0"/>
        <n v="1396.0"/>
        <n v="1207.0"/>
        <n v="593.0"/>
        <n v="69.0"/>
        <n v="1322.0"/>
        <n v="254.0"/>
        <n v="1850.0"/>
        <n v="806.0"/>
        <n v="1723.0"/>
        <n v="663.0"/>
        <n v="262.0"/>
        <n v="1183.0"/>
        <n v="607.0"/>
        <n v="1050.0"/>
        <n v="239.0"/>
        <n v="1629.0"/>
        <n v="1495.0"/>
        <n v="1901.0"/>
        <n v="135.0"/>
        <n v="796.0"/>
        <n v="1415.0"/>
        <n v="774.0"/>
        <n v="1855.0"/>
        <n v="100.0"/>
        <n v="271.0"/>
        <n v="1836.0"/>
        <n v="1808.0"/>
        <n v="506.0"/>
        <n v="1401.0"/>
        <n v="1363.0"/>
        <n v="868.0"/>
        <n v="415.0"/>
        <n v="943.0"/>
        <n v="1097.0"/>
        <n v="1501.0"/>
        <n v="1993.0"/>
        <n v="1935.0"/>
        <n v="1326.0"/>
        <n v="886.0"/>
        <n v="874.0"/>
        <n v="655.0"/>
        <n v="1898.0"/>
        <n v="1310.0"/>
        <n v="930.0"/>
        <n v="1292.0"/>
        <n v="709.0"/>
        <n v="397.0"/>
        <n v="223.0"/>
        <n v="1105.0"/>
        <n v="685.0"/>
        <n v="1701.0"/>
        <n v="1301.0"/>
        <n v="448.0"/>
        <n v="1476.0"/>
        <n v="1458.0"/>
        <n v="1110.0"/>
        <n v="1137.0"/>
        <n v="1269.0"/>
        <n v="1573.0"/>
        <n v="971.0"/>
        <n v="1589.0"/>
        <n v="612.0"/>
        <n v="208.0"/>
        <n v="215.0"/>
        <n v="358.0"/>
        <n v="899.0"/>
        <n v="1755.0"/>
        <n v="847.0"/>
        <n v="62.0"/>
        <n v="1797.0"/>
        <n v="942.0"/>
        <n v="109.0"/>
        <n v="738.0"/>
        <n v="1143.0"/>
        <n v="1907.0"/>
        <n v="1262.0"/>
        <n v="1825.0"/>
        <n v="981.0"/>
        <n v="741.0"/>
        <n v="1013.0"/>
        <n v="1584.0"/>
        <n v="132.0"/>
        <n v="362.0"/>
      </sharedItems>
    </cacheField>
    <cacheField name="Unit Price" numFmtId="165">
      <sharedItems containsSemiMixedTypes="0" containsString="0" containsNumber="1">
        <n v="5.99"/>
        <n v="3.49"/>
        <n v="3.79"/>
        <n v="6.29"/>
        <n v="8.99"/>
        <n v="4.29"/>
        <n v="4.49"/>
        <n v="3.19"/>
        <n v="1.89"/>
        <n v="7.49"/>
        <n v="2.99"/>
        <n v="2.49"/>
      </sharedItems>
    </cacheField>
    <cacheField name="Line Revenue" numFmtId="165">
      <sharedItems containsSemiMixedTypes="0" containsString="0" containsNumber="1">
        <n v="9332.42"/>
        <n v="5008.150000000001"/>
        <n v="7113.83"/>
        <n v="1734.5300000000002"/>
        <n v="6818.36"/>
        <n v="6095.01"/>
        <n v="5564.81"/>
        <n v="1063.92"/>
        <n v="1369.45"/>
        <n v="905.19"/>
        <n v="2073.5"/>
        <n v="270.27"/>
        <n v="2316.84"/>
        <n v="2655.51"/>
        <n v="3587.71"/>
        <n v="4613.570000000001"/>
        <n v="2300.16"/>
        <n v="7434.7300000000005"/>
        <n v="980.91"/>
        <n v="10171.02"/>
        <n v="7830.29"/>
        <n v="13938.890000000001"/>
        <n v="2957.11"/>
        <n v="1118.8799999999999"/>
        <n v="3892.8300000000004"/>
        <n v="4486.01"/>
        <n v="2065.77"/>
        <n v="1202.6299999999999"/>
        <n v="3013.92"/>
        <n v="1799.16"/>
        <n v="8135.88"/>
        <n v="2230.54"/>
        <n v="3899.4900000000002"/>
        <n v="928.7700000000001"/>
        <n v="2108.59"/>
        <n v="4889.610000000001"/>
        <n v="1366.43"/>
        <n v="381.81"/>
        <n v="11692.48"/>
        <n v="4604.01"/>
        <n v="6449.52"/>
        <n v="10108.03"/>
        <n v="1470.52"/>
        <n v="4663.78"/>
        <n v="9044.9"/>
        <n v="3336.4300000000003"/>
        <n v="342.09"/>
        <n v="836.07"/>
        <n v="4280.98"/>
        <n v="1807.8200000000002"/>
        <n v="11404.960000000001"/>
        <n v="3535.8"/>
        <n v="10416.24"/>
        <n v="4882.51"/>
        <n v="8988.41"/>
        <n v="6164.77"/>
        <n v="2629.61"/>
        <n v="2894.32"/>
        <n v="5749.06"/>
        <n v="7310.16"/>
        <n v="3459.4300000000003"/>
        <n v="2599.5600000000004"/>
        <n v="134.46"/>
        <n v="6941.54"/>
        <n v="4481.95"/>
        <n v="1012.3100000000001"/>
        <n v="910.48"/>
        <n v="359.09999999999997"/>
        <n v="565.11"/>
        <n v="8149.35"/>
        <n v="692.23"/>
        <n v="10456.04"/>
        <n v="3608.9300000000003"/>
        <n v="3552.07"/>
        <n v="413.31"/>
        <n v="3291.78"/>
        <n v="962.66"/>
        <n v="11081.5"/>
        <n v="2812.94"/>
        <n v="7736.27"/>
        <n v="2512.77"/>
        <n v="783.3800000000001"/>
        <n v="3537.17"/>
        <n v="3818.03"/>
        <n v="4714.5"/>
        <n v="8168.16"/>
        <n v="451.71"/>
        <n v="6988.41"/>
        <n v="5666.05"/>
        <n v="5683.990000000001"/>
        <n v="255.14999999999998"/>
        <n v="7156.04"/>
        <n v="2674.35"/>
        <n v="4636.26"/>
        <n v="3505.95"/>
        <n v="429.0"/>
        <n v="864.49"/>
        <n v="16505.64"/>
        <n v="6309.92"/>
        <n v="3030.94"/>
        <n v="2647.89"/>
        <n v="5847.27"/>
        <n v="2768.92"/>
        <n v="1780.35"/>
        <n v="2247.47"/>
        <n v="7063.070000000001"/>
        <n v="4157.63"/>
        <n v="8990.99"/>
        <n v="3766.77"/>
        <n v="7333.65"/>
        <n v="9931.74"/>
        <n v="3978.1400000000003"/>
        <n v="7857.26"/>
        <n v="2089.45"/>
        <n v="7193.42"/>
        <n v="7846.900000000001"/>
        <n v="3245.7000000000003"/>
        <n v="4121.48"/>
        <n v="3183.4100000000003"/>
        <n v="1266.43"/>
        <n v="1001.2700000000001"/>
        <n v="9933.95"/>
        <n v="2048.15"/>
        <n v="10699.29"/>
        <n v="3239.4900000000002"/>
        <n v="1697.92"/>
        <n v="6627.240000000001"/>
        <n v="4651.0199999999995"/>
        <n v="3540.9"/>
        <n v="652.08"/>
        <n v="3627.0299999999997"/>
        <n v="4809.51"/>
        <n v="9894.17"/>
        <n v="7272.79"/>
        <n v="3956.61"/>
        <n v="3849.48"/>
        <n v="1557.92"/>
        <n v="965.35"/>
        <n v="676.62"/>
        <n v="1699.11"/>
        <n v="11038.95"/>
        <n v="3633.63"/>
        <n v="265.98"/>
        <n v="4950.89"/>
        <n v="4474.530000000001"/>
        <n v="2345.5800000000004"/>
        <n v="979.91"/>
        <n v="3166.02"/>
        <n v="3646.17"/>
        <n v="11995.03"/>
        <n v="5413.9800000000005"/>
        <n v="11479.25"/>
        <n v="6170.49"/>
        <n v="1845.0900000000001"/>
        <n v="6371.77"/>
        <n v="2993.7599999999998"/>
        <n v="394.68"/>
        <n v="1082.38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9" sheet="Task 4"/>
  </cacheSource>
  <cacheFields>
    <cacheField name="Customer" numFmtId="0">
      <sharedItems>
        <s v="Walmart"/>
        <s v="Target"/>
        <s v="Kroger"/>
        <s v="Costco"/>
        <s v="Sam's Club"/>
        <s v="Meijer"/>
        <s v="HEB"/>
        <s v="Publix"/>
      </sharedItems>
    </cacheField>
    <cacheField name="Sales Rep" numFmtId="0">
      <sharedItems>
        <s v="Karen Olsen"/>
        <s v="James Peralta"/>
        <s v="David Cho"/>
        <s v="Maria Santos"/>
      </sharedItems>
    </cacheField>
    <cacheField name="total revenue" numFmtId="165">
      <sharedItems containsSemiMixedTypes="0" containsString="0" containsNumber="1">
        <n v="200370.44"/>
        <n v="175288.49000000002"/>
        <n v="108722.50999999998"/>
        <n v="83275.99"/>
        <n v="39319.75"/>
        <n v="16971.260000000002"/>
        <n v="54528.770000000004"/>
        <n v="24931.8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sk 1" cacheId="0" dataCaption="" rowGrandTotals="0" compact="0" compactData="0">
  <location ref="A1:B9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Customer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ine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</pivotFields>
  <rowFields>
    <field x="2"/>
  </rowFields>
  <dataFields>
    <dataField name="SUM of Line Revenue" fld="8" baseField="0"/>
  </dataFields>
</pivotTableDefinition>
</file>

<file path=xl/pivotTables/pivotTable2.xml><?xml version="1.0" encoding="utf-8"?>
<pivotTableDefinition xmlns="http://schemas.openxmlformats.org/spreadsheetml/2006/main" name="Task 2" cacheId="1" dataCaption="" compact="0" compactData="0">
  <location ref="A1:F7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Order Date" axis="axisCol" compact="0" numFmtId="164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Category" axis="axisRow" compact="0" outline="0" multipleItemSelectionAllowed="1" showAll="0" sortType="descending">
      <items>
        <item x="1"/>
        <item x="2"/>
        <item x="0"/>
        <item x="3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ine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</pivotFields>
  <rowFields>
    <field x="4"/>
  </rowFields>
  <colFields>
    <field x="1"/>
  </colFields>
  <dataFields>
    <dataField name="SUM of Line Revenue" fld="8" baseField="0"/>
  </dataFields>
</pivotTableDefinition>
</file>

<file path=xl/pivotTables/pivotTable3.xml><?xml version="1.0" encoding="utf-8"?>
<pivotTableDefinition xmlns="http://schemas.openxmlformats.org/spreadsheetml/2006/main" name="Task 3" cacheId="0" dataCaption="" rowGrandTotals="0" compact="0" compactData="0">
  <location ref="A1:B9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Customer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ine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</pivotFields>
  <rowFields>
    <field x="2"/>
  </rowFields>
  <dataFields>
    <dataField name="AVERAGE of Line Revenue" fld="8" subtotal="average" baseField="0"/>
  </dataFields>
</pivotTableDefinition>
</file>

<file path=xl/pivotTables/pivotTable4.xml><?xml version="1.0" encoding="utf-8"?>
<pivotTableDefinition xmlns="http://schemas.openxmlformats.org/spreadsheetml/2006/main" name="Task 4.1" cacheId="2" dataCaption="" compact="0" compactData="0">
  <location ref="A1:B6" firstHeaderRow="0" firstDataRow="1" firstDataCol="0"/>
  <pivotFields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les Rep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1"/>
  </rowFields>
  <dataFields>
    <dataField name="SUM of total revenue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00.0"/>
    <col customWidth="1" min="3" max="26" width="8.71"/>
  </cols>
  <sheetData>
    <row r="1">
      <c r="A1" s="1"/>
      <c r="B1" s="1"/>
    </row>
    <row r="2" ht="19.5" customHeight="1">
      <c r="A2" s="1"/>
      <c r="B2" s="2" t="s">
        <v>0</v>
      </c>
    </row>
    <row r="3">
      <c r="A3" s="1"/>
      <c r="B3" s="1"/>
    </row>
    <row r="4" ht="19.5" customHeight="1">
      <c r="A4" s="1"/>
      <c r="B4" s="3" t="s">
        <v>1</v>
      </c>
    </row>
    <row r="5" ht="90.0" customHeight="1">
      <c r="A5" s="1"/>
      <c r="B5" s="4" t="s">
        <v>2</v>
      </c>
    </row>
    <row r="6">
      <c r="A6" s="1"/>
      <c r="B6" s="1"/>
    </row>
    <row r="7" ht="19.5" customHeight="1">
      <c r="A7" s="1"/>
      <c r="B7" s="3" t="s">
        <v>3</v>
      </c>
    </row>
    <row r="8" ht="19.5" customHeight="1">
      <c r="A8" s="1"/>
      <c r="B8" s="4" t="s">
        <v>4</v>
      </c>
    </row>
    <row r="9">
      <c r="A9" s="1"/>
      <c r="B9" s="1"/>
    </row>
    <row r="10" ht="19.5" customHeight="1">
      <c r="A10" s="1"/>
      <c r="B10" s="3" t="s">
        <v>5</v>
      </c>
    </row>
    <row r="11" ht="19.5" customHeight="1">
      <c r="A11" s="1"/>
      <c r="B11" s="4" t="s">
        <v>6</v>
      </c>
    </row>
    <row r="12" ht="19.5" customHeight="1">
      <c r="A12" s="1"/>
      <c r="B12" s="4" t="s">
        <v>7</v>
      </c>
    </row>
    <row r="13" ht="19.5" customHeight="1">
      <c r="A13" s="1"/>
      <c r="B13" s="4" t="s">
        <v>8</v>
      </c>
    </row>
    <row r="14" ht="19.5" customHeight="1">
      <c r="A14" s="1"/>
      <c r="B14" s="4" t="s">
        <v>9</v>
      </c>
    </row>
    <row r="15" ht="19.5" customHeight="1">
      <c r="A15" s="1"/>
      <c r="B15" s="4" t="s">
        <v>10</v>
      </c>
    </row>
    <row r="16" ht="19.5" customHeight="1">
      <c r="A16" s="1"/>
      <c r="B16" s="4" t="s">
        <v>11</v>
      </c>
    </row>
    <row r="17" ht="19.5" customHeight="1">
      <c r="A17" s="1"/>
      <c r="B17" s="4" t="s">
        <v>12</v>
      </c>
    </row>
    <row r="18" ht="19.5" customHeight="1">
      <c r="A18" s="1"/>
      <c r="B18" s="4" t="s">
        <v>13</v>
      </c>
    </row>
    <row r="19" ht="19.5" customHeight="1">
      <c r="A19" s="1"/>
      <c r="B19" s="4" t="s">
        <v>14</v>
      </c>
    </row>
    <row r="20">
      <c r="A20" s="1"/>
      <c r="B20" s="1"/>
    </row>
    <row r="21" ht="19.5" customHeight="1">
      <c r="A21" s="1"/>
      <c r="B21" s="3" t="s">
        <v>15</v>
      </c>
    </row>
    <row r="22" ht="19.5" customHeight="1">
      <c r="A22" s="1"/>
      <c r="B22" s="5" t="s">
        <v>16</v>
      </c>
    </row>
    <row r="23" ht="54.0" customHeight="1">
      <c r="A23" s="1"/>
      <c r="B23" s="4" t="s">
        <v>17</v>
      </c>
    </row>
    <row r="24" ht="15.75" customHeight="1">
      <c r="A24" s="1"/>
      <c r="B24" s="1"/>
    </row>
    <row r="25" ht="19.5" customHeight="1">
      <c r="A25" s="1"/>
      <c r="B25" s="5" t="s">
        <v>18</v>
      </c>
    </row>
    <row r="26" ht="54.0" customHeight="1">
      <c r="A26" s="1"/>
      <c r="B26" s="4" t="s">
        <v>19</v>
      </c>
    </row>
    <row r="27" ht="15.75" customHeight="1">
      <c r="A27" s="1"/>
      <c r="B27" s="1"/>
    </row>
    <row r="28" ht="19.5" customHeight="1">
      <c r="A28" s="1"/>
      <c r="B28" s="5" t="s">
        <v>20</v>
      </c>
    </row>
    <row r="29" ht="72.0" customHeight="1">
      <c r="A29" s="1"/>
      <c r="B29" s="4" t="s">
        <v>21</v>
      </c>
    </row>
    <row r="30" ht="15.75" customHeight="1">
      <c r="A30" s="1"/>
      <c r="B30" s="1"/>
    </row>
    <row r="31" ht="19.5" customHeight="1">
      <c r="A31" s="1"/>
      <c r="B31" s="5" t="s">
        <v>22</v>
      </c>
    </row>
    <row r="32" ht="90.0" customHeight="1">
      <c r="A32" s="1"/>
      <c r="B32" s="4" t="s">
        <v>23</v>
      </c>
    </row>
    <row r="33" ht="15.0" customHeight="1">
      <c r="A33" s="1"/>
      <c r="B33" s="6"/>
    </row>
    <row r="34" ht="19.5" customHeight="1">
      <c r="A34" s="1"/>
      <c r="B34" s="3"/>
    </row>
    <row r="35" ht="19.5" customHeight="1">
      <c r="A35" s="1"/>
      <c r="B35" s="4"/>
    </row>
    <row r="36" ht="19.5" customHeight="1">
      <c r="A36" s="1"/>
      <c r="B36" s="4"/>
    </row>
    <row r="37" ht="19.5" customHeight="1">
      <c r="A37" s="1"/>
      <c r="B37" s="4"/>
    </row>
    <row r="38" ht="19.5" customHeight="1">
      <c r="A38" s="1"/>
      <c r="B38" s="4"/>
    </row>
    <row r="39" ht="15.75" customHeight="1">
      <c r="A39" s="1"/>
      <c r="B39" s="1"/>
    </row>
    <row r="40" ht="19.5" customHeight="1">
      <c r="A40" s="1"/>
      <c r="B40" s="7" t="s">
        <v>24</v>
      </c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0"/>
    <col customWidth="1" min="3" max="3" width="20.0"/>
    <col customWidth="1" min="4" max="4" width="24.0"/>
    <col customWidth="1" min="5" max="5" width="13.71"/>
    <col customWidth="1" min="6" max="6" width="17.0"/>
    <col customWidth="1" min="7" max="7" width="18.43"/>
    <col customWidth="1" min="8" max="8" width="13.29"/>
    <col customWidth="1" min="9" max="26" width="8.71"/>
  </cols>
  <sheetData>
    <row r="1" ht="15.0" customHeight="1">
      <c r="A1" s="8" t="s">
        <v>25</v>
      </c>
      <c r="B1" s="8" t="s">
        <v>26</v>
      </c>
      <c r="C1" s="8" t="s">
        <v>27</v>
      </c>
      <c r="D1" s="8" t="s">
        <v>28</v>
      </c>
    </row>
    <row r="2" ht="15.0" customHeight="1">
      <c r="A2" s="9" t="s">
        <v>29</v>
      </c>
      <c r="B2" s="9" t="s">
        <v>30</v>
      </c>
      <c r="C2" s="9" t="s">
        <v>31</v>
      </c>
      <c r="D2" s="10">
        <v>45.0</v>
      </c>
      <c r="F2" s="11"/>
      <c r="G2" s="11"/>
      <c r="H2" s="11"/>
    </row>
    <row r="3" ht="15.0" customHeight="1">
      <c r="A3" s="9" t="s">
        <v>32</v>
      </c>
      <c r="B3" s="9" t="s">
        <v>30</v>
      </c>
      <c r="C3" s="9" t="s">
        <v>31</v>
      </c>
      <c r="D3" s="10">
        <v>45.0</v>
      </c>
      <c r="E3" s="12"/>
      <c r="F3" s="9"/>
      <c r="G3" s="12"/>
      <c r="H3" s="12"/>
    </row>
    <row r="4" ht="15.0" customHeight="1">
      <c r="A4" s="9" t="s">
        <v>33</v>
      </c>
      <c r="B4" s="9" t="s">
        <v>34</v>
      </c>
      <c r="C4" s="9" t="s">
        <v>35</v>
      </c>
      <c r="D4" s="10">
        <v>30.0</v>
      </c>
      <c r="E4" s="12"/>
      <c r="F4" s="9"/>
      <c r="G4" s="12"/>
      <c r="H4" s="12"/>
    </row>
    <row r="5" ht="15.0" customHeight="1">
      <c r="A5" s="9" t="s">
        <v>36</v>
      </c>
      <c r="B5" s="9" t="s">
        <v>30</v>
      </c>
      <c r="C5" s="9" t="s">
        <v>31</v>
      </c>
      <c r="D5" s="10">
        <v>45.0</v>
      </c>
      <c r="E5" s="12"/>
      <c r="F5" s="9"/>
      <c r="G5" s="12"/>
      <c r="H5" s="12"/>
    </row>
    <row r="6" ht="15.0" customHeight="1">
      <c r="A6" s="9" t="s">
        <v>37</v>
      </c>
      <c r="B6" s="9" t="s">
        <v>34</v>
      </c>
      <c r="C6" s="9" t="s">
        <v>35</v>
      </c>
      <c r="D6" s="10">
        <v>30.0</v>
      </c>
      <c r="F6" s="9"/>
      <c r="G6" s="12"/>
      <c r="H6" s="12"/>
    </row>
    <row r="7" ht="15.0" customHeight="1">
      <c r="A7" s="9" t="s">
        <v>38</v>
      </c>
      <c r="B7" s="9" t="s">
        <v>39</v>
      </c>
      <c r="C7" s="9" t="s">
        <v>40</v>
      </c>
      <c r="D7" s="10">
        <v>30.0</v>
      </c>
      <c r="F7" s="9"/>
      <c r="G7" s="12"/>
      <c r="H7" s="12"/>
    </row>
    <row r="8" ht="15.0" customHeight="1">
      <c r="A8" s="9" t="s">
        <v>41</v>
      </c>
      <c r="B8" s="9" t="s">
        <v>39</v>
      </c>
      <c r="C8" s="9" t="s">
        <v>42</v>
      </c>
      <c r="D8" s="10">
        <v>15.0</v>
      </c>
      <c r="F8" s="9"/>
      <c r="G8" s="12"/>
      <c r="H8" s="12"/>
    </row>
    <row r="9" ht="15.0" customHeight="1">
      <c r="A9" s="9" t="s">
        <v>43</v>
      </c>
      <c r="B9" s="9" t="s">
        <v>39</v>
      </c>
      <c r="C9" s="9" t="s">
        <v>42</v>
      </c>
      <c r="D9" s="10">
        <v>15.0</v>
      </c>
      <c r="F9" s="9"/>
      <c r="G9" s="12"/>
      <c r="H9" s="12"/>
    </row>
    <row r="10">
      <c r="A10" s="1"/>
      <c r="B10" s="1"/>
      <c r="C10" s="1"/>
      <c r="D10" s="1"/>
      <c r="F10" s="9"/>
      <c r="G10" s="12"/>
      <c r="H10" s="12"/>
    </row>
    <row r="11">
      <c r="A11" s="1"/>
      <c r="B11" s="1"/>
      <c r="C11" s="1"/>
      <c r="D11" s="1"/>
    </row>
    <row r="12">
      <c r="A12" s="1"/>
      <c r="B12" s="1"/>
      <c r="C12" s="1"/>
      <c r="D12" s="1"/>
    </row>
    <row r="13">
      <c r="A13" s="1"/>
      <c r="B13" s="1"/>
      <c r="C13" s="1"/>
      <c r="D13" s="1"/>
    </row>
    <row r="14">
      <c r="A14" s="1"/>
      <c r="B14" s="1"/>
      <c r="C14" s="1"/>
      <c r="D14" s="1"/>
    </row>
    <row r="15">
      <c r="A15" s="1"/>
      <c r="B15" s="1"/>
      <c r="C15" s="1"/>
      <c r="D15" s="1"/>
    </row>
    <row r="16">
      <c r="A16" s="1"/>
      <c r="B16" s="1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 ht="15.75" customHeight="1">
      <c r="A21" s="1"/>
      <c r="B21" s="1"/>
      <c r="C21" s="1"/>
      <c r="D21" s="1"/>
    </row>
    <row r="22" ht="15.75" customHeight="1">
      <c r="A22" s="1"/>
      <c r="B22" s="1"/>
      <c r="C22" s="1"/>
      <c r="D22" s="1"/>
    </row>
    <row r="23" ht="15.75" customHeight="1">
      <c r="A23" s="1"/>
      <c r="B23" s="1"/>
      <c r="C23" s="1"/>
      <c r="D23" s="1"/>
    </row>
    <row r="24" ht="15.75" customHeight="1">
      <c r="A24" s="1"/>
      <c r="B24" s="1"/>
      <c r="C24" s="1"/>
      <c r="D24" s="1"/>
    </row>
    <row r="25" ht="15.75" customHeight="1">
      <c r="A25" s="1"/>
      <c r="B25" s="1"/>
      <c r="C25" s="1"/>
      <c r="D25" s="1"/>
    </row>
    <row r="26" ht="15.75" customHeight="1">
      <c r="A26" s="1"/>
      <c r="B26" s="1"/>
      <c r="C26" s="1"/>
      <c r="D26" s="1"/>
    </row>
    <row r="27" ht="15.75" customHeight="1">
      <c r="A27" s="1"/>
      <c r="B27" s="1"/>
      <c r="C27" s="1"/>
      <c r="D27" s="1"/>
    </row>
    <row r="28" ht="15.75" customHeight="1">
      <c r="A28" s="1"/>
      <c r="B28" s="1"/>
      <c r="C28" s="1"/>
      <c r="D28" s="1"/>
    </row>
    <row r="29" ht="15.75" customHeight="1">
      <c r="A29" s="1"/>
      <c r="B29" s="1"/>
      <c r="C29" s="1"/>
      <c r="D29" s="1"/>
    </row>
    <row r="30" ht="15.75" customHeight="1">
      <c r="A30" s="1"/>
      <c r="B30" s="1"/>
      <c r="C30" s="1"/>
      <c r="D30" s="1"/>
    </row>
    <row r="31" ht="15.75" customHeight="1">
      <c r="A31" s="1"/>
      <c r="B31" s="1"/>
      <c r="C31" s="1"/>
      <c r="D31" s="1"/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6.0"/>
    <col customWidth="1" min="4" max="4" width="10.0"/>
    <col customWidth="1" min="5" max="5" width="18.0"/>
    <col customWidth="1" min="6" max="7" width="10.0"/>
    <col customWidth="1" min="8" max="8" width="12.0"/>
    <col customWidth="1" min="9" max="9" width="17.29"/>
    <col customWidth="1" min="10" max="26" width="8.71"/>
  </cols>
  <sheetData>
    <row r="1" ht="15.0" customHeight="1">
      <c r="A1" s="13" t="s">
        <v>44</v>
      </c>
      <c r="B1" s="13" t="s">
        <v>45</v>
      </c>
      <c r="C1" s="13" t="s">
        <v>25</v>
      </c>
      <c r="D1" s="13" t="s">
        <v>46</v>
      </c>
      <c r="E1" s="13" t="s">
        <v>47</v>
      </c>
      <c r="F1" s="13" t="s">
        <v>48</v>
      </c>
      <c r="G1" s="13" t="s">
        <v>49</v>
      </c>
      <c r="H1" s="13" t="s">
        <v>50</v>
      </c>
      <c r="I1" s="13" t="s">
        <v>51</v>
      </c>
    </row>
    <row r="2" ht="15.0" customHeight="1">
      <c r="A2" s="9" t="s">
        <v>52</v>
      </c>
      <c r="B2" s="14">
        <v>45670.0</v>
      </c>
      <c r="C2" s="9" t="s">
        <v>36</v>
      </c>
      <c r="D2" s="9" t="s">
        <v>53</v>
      </c>
      <c r="E2" s="9" t="s">
        <v>54</v>
      </c>
      <c r="F2" s="9" t="s">
        <v>55</v>
      </c>
      <c r="G2" s="15">
        <v>1558.0</v>
      </c>
      <c r="H2" s="16">
        <v>5.99</v>
      </c>
      <c r="I2" s="16">
        <f t="shared" ref="I2:I161" si="1">G2*H2</f>
        <v>9332.42</v>
      </c>
    </row>
    <row r="3" ht="15.0" customHeight="1">
      <c r="A3" s="9" t="s">
        <v>52</v>
      </c>
      <c r="B3" s="14">
        <v>45670.0</v>
      </c>
      <c r="C3" s="9" t="s">
        <v>36</v>
      </c>
      <c r="D3" s="9" t="s">
        <v>53</v>
      </c>
      <c r="E3" s="9" t="s">
        <v>56</v>
      </c>
      <c r="F3" s="9" t="s">
        <v>57</v>
      </c>
      <c r="G3" s="15">
        <v>1435.0</v>
      </c>
      <c r="H3" s="16">
        <v>3.49</v>
      </c>
      <c r="I3" s="16">
        <f t="shared" si="1"/>
        <v>5008.15</v>
      </c>
    </row>
    <row r="4" ht="15.0" customHeight="1">
      <c r="A4" s="9" t="s">
        <v>52</v>
      </c>
      <c r="B4" s="14">
        <v>45670.0</v>
      </c>
      <c r="C4" s="9" t="s">
        <v>36</v>
      </c>
      <c r="D4" s="9" t="s">
        <v>53</v>
      </c>
      <c r="E4" s="9" t="s">
        <v>58</v>
      </c>
      <c r="F4" s="9" t="s">
        <v>59</v>
      </c>
      <c r="G4" s="15">
        <v>1877.0</v>
      </c>
      <c r="H4" s="16">
        <v>3.79</v>
      </c>
      <c r="I4" s="16">
        <f t="shared" si="1"/>
        <v>7113.83</v>
      </c>
    </row>
    <row r="5" ht="15.0" customHeight="1">
      <c r="A5" s="9" t="s">
        <v>60</v>
      </c>
      <c r="B5" s="14">
        <v>45960.0</v>
      </c>
      <c r="C5" s="9" t="s">
        <v>33</v>
      </c>
      <c r="D5" s="9" t="s">
        <v>61</v>
      </c>
      <c r="E5" s="9" t="s">
        <v>56</v>
      </c>
      <c r="F5" s="9" t="s">
        <v>57</v>
      </c>
      <c r="G5" s="15">
        <v>497.0</v>
      </c>
      <c r="H5" s="16">
        <v>3.49</v>
      </c>
      <c r="I5" s="16">
        <f t="shared" si="1"/>
        <v>1734.53</v>
      </c>
    </row>
    <row r="6" ht="15.0" customHeight="1">
      <c r="A6" s="9" t="s">
        <v>60</v>
      </c>
      <c r="B6" s="14">
        <v>45960.0</v>
      </c>
      <c r="C6" s="9" t="s">
        <v>33</v>
      </c>
      <c r="D6" s="9" t="s">
        <v>61</v>
      </c>
      <c r="E6" s="9" t="s">
        <v>58</v>
      </c>
      <c r="F6" s="9" t="s">
        <v>62</v>
      </c>
      <c r="G6" s="15">
        <v>1084.0</v>
      </c>
      <c r="H6" s="16">
        <v>6.29</v>
      </c>
      <c r="I6" s="16">
        <f t="shared" si="1"/>
        <v>6818.36</v>
      </c>
    </row>
    <row r="7" ht="15.0" customHeight="1">
      <c r="A7" s="9" t="s">
        <v>63</v>
      </c>
      <c r="B7" s="14">
        <v>45945.0</v>
      </c>
      <c r="C7" s="9" t="s">
        <v>33</v>
      </c>
      <c r="D7" s="9" t="s">
        <v>61</v>
      </c>
      <c r="E7" s="9" t="s">
        <v>58</v>
      </c>
      <c r="F7" s="9" t="s">
        <v>62</v>
      </c>
      <c r="G7" s="15">
        <v>969.0</v>
      </c>
      <c r="H7" s="16">
        <v>6.29</v>
      </c>
      <c r="I7" s="16">
        <f t="shared" si="1"/>
        <v>6095.01</v>
      </c>
    </row>
    <row r="8" ht="15.0" customHeight="1">
      <c r="A8" s="9" t="s">
        <v>64</v>
      </c>
      <c r="B8" s="14">
        <v>45661.0</v>
      </c>
      <c r="C8" s="9" t="s">
        <v>33</v>
      </c>
      <c r="D8" s="9" t="s">
        <v>61</v>
      </c>
      <c r="E8" s="9" t="s">
        <v>58</v>
      </c>
      <c r="F8" s="9" t="s">
        <v>65</v>
      </c>
      <c r="G8" s="15">
        <v>619.0</v>
      </c>
      <c r="H8" s="16">
        <v>8.99</v>
      </c>
      <c r="I8" s="16">
        <f t="shared" si="1"/>
        <v>5564.81</v>
      </c>
    </row>
    <row r="9" ht="15.0" customHeight="1">
      <c r="A9" s="9" t="s">
        <v>66</v>
      </c>
      <c r="B9" s="14">
        <v>45830.0</v>
      </c>
      <c r="C9" s="9" t="s">
        <v>29</v>
      </c>
      <c r="D9" s="9" t="s">
        <v>67</v>
      </c>
      <c r="E9" s="9" t="s">
        <v>56</v>
      </c>
      <c r="F9" s="9" t="s">
        <v>68</v>
      </c>
      <c r="G9" s="15">
        <v>248.0</v>
      </c>
      <c r="H9" s="16">
        <v>4.29</v>
      </c>
      <c r="I9" s="16">
        <f t="shared" si="1"/>
        <v>1063.92</v>
      </c>
    </row>
    <row r="10" ht="15.0" customHeight="1">
      <c r="A10" s="9" t="s">
        <v>69</v>
      </c>
      <c r="B10" s="14">
        <v>45834.0</v>
      </c>
      <c r="C10" s="9" t="s">
        <v>32</v>
      </c>
      <c r="D10" s="9" t="s">
        <v>67</v>
      </c>
      <c r="E10" s="9" t="s">
        <v>54</v>
      </c>
      <c r="F10" s="9" t="s">
        <v>70</v>
      </c>
      <c r="G10" s="15">
        <v>305.0</v>
      </c>
      <c r="H10" s="16">
        <v>4.49</v>
      </c>
      <c r="I10" s="16">
        <f t="shared" si="1"/>
        <v>1369.45</v>
      </c>
    </row>
    <row r="11" ht="15.0" customHeight="1">
      <c r="A11" s="9" t="s">
        <v>69</v>
      </c>
      <c r="B11" s="14">
        <v>45834.0</v>
      </c>
      <c r="C11" s="9" t="s">
        <v>32</v>
      </c>
      <c r="D11" s="9" t="s">
        <v>67</v>
      </c>
      <c r="E11" s="9" t="s">
        <v>56</v>
      </c>
      <c r="F11" s="9" t="s">
        <v>68</v>
      </c>
      <c r="G11" s="15">
        <v>211.0</v>
      </c>
      <c r="H11" s="16">
        <v>4.29</v>
      </c>
      <c r="I11" s="16">
        <f t="shared" si="1"/>
        <v>905.19</v>
      </c>
    </row>
    <row r="12" ht="15.0" customHeight="1">
      <c r="A12" s="9" t="s">
        <v>69</v>
      </c>
      <c r="B12" s="14">
        <v>45834.0</v>
      </c>
      <c r="C12" s="9" t="s">
        <v>32</v>
      </c>
      <c r="D12" s="9" t="s">
        <v>67</v>
      </c>
      <c r="E12" s="9" t="s">
        <v>71</v>
      </c>
      <c r="F12" s="9" t="s">
        <v>72</v>
      </c>
      <c r="G12" s="15">
        <v>650.0</v>
      </c>
      <c r="H12" s="16">
        <v>3.19</v>
      </c>
      <c r="I12" s="16">
        <f t="shared" si="1"/>
        <v>2073.5</v>
      </c>
    </row>
    <row r="13" ht="15.0" customHeight="1">
      <c r="A13" s="9" t="s">
        <v>73</v>
      </c>
      <c r="B13" s="14">
        <v>45974.0</v>
      </c>
      <c r="C13" s="9" t="s">
        <v>38</v>
      </c>
      <c r="D13" s="9" t="s">
        <v>61</v>
      </c>
      <c r="E13" s="9" t="s">
        <v>71</v>
      </c>
      <c r="F13" s="9" t="s">
        <v>74</v>
      </c>
      <c r="G13" s="15">
        <v>143.0</v>
      </c>
      <c r="H13" s="16">
        <v>1.89</v>
      </c>
      <c r="I13" s="16">
        <f t="shared" si="1"/>
        <v>270.27</v>
      </c>
    </row>
    <row r="14" ht="15.0" customHeight="1">
      <c r="A14" s="9" t="s">
        <v>73</v>
      </c>
      <c r="B14" s="14">
        <v>45974.0</v>
      </c>
      <c r="C14" s="9" t="s">
        <v>38</v>
      </c>
      <c r="D14" s="9" t="s">
        <v>61</v>
      </c>
      <c r="E14" s="9" t="s">
        <v>54</v>
      </c>
      <c r="F14" s="9" t="s">
        <v>70</v>
      </c>
      <c r="G14" s="15">
        <v>516.0</v>
      </c>
      <c r="H14" s="16">
        <v>4.49</v>
      </c>
      <c r="I14" s="16">
        <f t="shared" si="1"/>
        <v>2316.84</v>
      </c>
    </row>
    <row r="15" ht="15.0" customHeight="1">
      <c r="A15" s="9" t="s">
        <v>75</v>
      </c>
      <c r="B15" s="14">
        <v>45698.0</v>
      </c>
      <c r="C15" s="9" t="s">
        <v>37</v>
      </c>
      <c r="D15" s="9" t="s">
        <v>67</v>
      </c>
      <c r="E15" s="9" t="s">
        <v>56</v>
      </c>
      <c r="F15" s="9" t="s">
        <v>68</v>
      </c>
      <c r="G15" s="15">
        <v>619.0</v>
      </c>
      <c r="H15" s="16">
        <v>4.29</v>
      </c>
      <c r="I15" s="16">
        <f t="shared" si="1"/>
        <v>2655.51</v>
      </c>
    </row>
    <row r="16" ht="15.0" customHeight="1">
      <c r="A16" s="9" t="s">
        <v>76</v>
      </c>
      <c r="B16" s="14">
        <v>45844.0</v>
      </c>
      <c r="C16" s="9" t="s">
        <v>32</v>
      </c>
      <c r="D16" s="9" t="s">
        <v>67</v>
      </c>
      <c r="E16" s="9" t="s">
        <v>54</v>
      </c>
      <c r="F16" s="9" t="s">
        <v>77</v>
      </c>
      <c r="G16" s="15">
        <v>479.0</v>
      </c>
      <c r="H16" s="16">
        <v>7.49</v>
      </c>
      <c r="I16" s="16">
        <f t="shared" si="1"/>
        <v>3587.71</v>
      </c>
    </row>
    <row r="17" ht="15.0" customHeight="1">
      <c r="A17" s="9" t="s">
        <v>78</v>
      </c>
      <c r="B17" s="14">
        <v>46017.0</v>
      </c>
      <c r="C17" s="9" t="s">
        <v>36</v>
      </c>
      <c r="D17" s="9" t="s">
        <v>53</v>
      </c>
      <c r="E17" s="9" t="s">
        <v>56</v>
      </c>
      <c r="F17" s="9" t="s">
        <v>79</v>
      </c>
      <c r="G17" s="15">
        <v>1543.0</v>
      </c>
      <c r="H17" s="16">
        <v>2.99</v>
      </c>
      <c r="I17" s="16">
        <f t="shared" si="1"/>
        <v>4613.57</v>
      </c>
    </row>
    <row r="18" ht="15.0" customHeight="1">
      <c r="A18" s="9" t="s">
        <v>78</v>
      </c>
      <c r="B18" s="14">
        <v>46017.0</v>
      </c>
      <c r="C18" s="9" t="s">
        <v>36</v>
      </c>
      <c r="D18" s="9" t="s">
        <v>53</v>
      </c>
      <c r="E18" s="9" t="s">
        <v>54</v>
      </c>
      <c r="F18" s="9" t="s">
        <v>55</v>
      </c>
      <c r="G18" s="15">
        <v>384.0</v>
      </c>
      <c r="H18" s="16">
        <v>5.99</v>
      </c>
      <c r="I18" s="16">
        <f t="shared" si="1"/>
        <v>2300.16</v>
      </c>
    </row>
    <row r="19" ht="15.0" customHeight="1">
      <c r="A19" s="9" t="s">
        <v>78</v>
      </c>
      <c r="B19" s="14">
        <v>46017.0</v>
      </c>
      <c r="C19" s="9" t="s">
        <v>36</v>
      </c>
      <c r="D19" s="9" t="s">
        <v>53</v>
      </c>
      <c r="E19" s="9" t="s">
        <v>58</v>
      </c>
      <c r="F19" s="9" t="s">
        <v>65</v>
      </c>
      <c r="G19" s="15">
        <v>827.0</v>
      </c>
      <c r="H19" s="16">
        <v>8.99</v>
      </c>
      <c r="I19" s="16">
        <f t="shared" si="1"/>
        <v>7434.73</v>
      </c>
    </row>
    <row r="20" ht="15.0" customHeight="1">
      <c r="A20" s="9" t="s">
        <v>80</v>
      </c>
      <c r="B20" s="14">
        <v>45985.0</v>
      </c>
      <c r="C20" s="9" t="s">
        <v>29</v>
      </c>
      <c r="D20" s="9" t="s">
        <v>67</v>
      </c>
      <c r="E20" s="9" t="s">
        <v>71</v>
      </c>
      <c r="F20" s="9" t="s">
        <v>74</v>
      </c>
      <c r="G20" s="15">
        <v>519.0</v>
      </c>
      <c r="H20" s="16">
        <v>1.89</v>
      </c>
      <c r="I20" s="16">
        <f t="shared" si="1"/>
        <v>980.91</v>
      </c>
    </row>
    <row r="21" ht="15.0" customHeight="1">
      <c r="A21" s="9" t="s">
        <v>80</v>
      </c>
      <c r="B21" s="14">
        <v>45985.0</v>
      </c>
      <c r="C21" s="9" t="s">
        <v>29</v>
      </c>
      <c r="D21" s="9" t="s">
        <v>67</v>
      </c>
      <c r="E21" s="9" t="s">
        <v>54</v>
      </c>
      <c r="F21" s="9" t="s">
        <v>55</v>
      </c>
      <c r="G21" s="15">
        <v>1698.0</v>
      </c>
      <c r="H21" s="16">
        <v>5.99</v>
      </c>
      <c r="I21" s="16">
        <f t="shared" si="1"/>
        <v>10171.02</v>
      </c>
    </row>
    <row r="22" ht="15.0" customHeight="1">
      <c r="A22" s="9" t="s">
        <v>80</v>
      </c>
      <c r="B22" s="14">
        <v>45985.0</v>
      </c>
      <c r="C22" s="9" t="s">
        <v>29</v>
      </c>
      <c r="D22" s="9" t="s">
        <v>67</v>
      </c>
      <c r="E22" s="9" t="s">
        <v>58</v>
      </c>
      <c r="F22" s="9" t="s">
        <v>65</v>
      </c>
      <c r="G22" s="15">
        <v>871.0</v>
      </c>
      <c r="H22" s="16">
        <v>8.99</v>
      </c>
      <c r="I22" s="16">
        <f t="shared" si="1"/>
        <v>7830.29</v>
      </c>
    </row>
    <row r="23" ht="15.0" customHeight="1">
      <c r="A23" s="9" t="s">
        <v>81</v>
      </c>
      <c r="B23" s="14">
        <v>45766.0</v>
      </c>
      <c r="C23" s="9" t="s">
        <v>29</v>
      </c>
      <c r="D23" s="9" t="s">
        <v>67</v>
      </c>
      <c r="E23" s="9" t="s">
        <v>54</v>
      </c>
      <c r="F23" s="9" t="s">
        <v>77</v>
      </c>
      <c r="G23" s="15">
        <v>1861.0</v>
      </c>
      <c r="H23" s="16">
        <v>7.49</v>
      </c>
      <c r="I23" s="16">
        <f t="shared" si="1"/>
        <v>13938.89</v>
      </c>
    </row>
    <row r="24" ht="15.0" customHeight="1">
      <c r="A24" s="9" t="s">
        <v>81</v>
      </c>
      <c r="B24" s="14">
        <v>45766.0</v>
      </c>
      <c r="C24" s="9" t="s">
        <v>29</v>
      </c>
      <c r="D24" s="9" t="s">
        <v>67</v>
      </c>
      <c r="E24" s="9" t="s">
        <v>56</v>
      </c>
      <c r="F24" s="9" t="s">
        <v>79</v>
      </c>
      <c r="G24" s="15">
        <v>989.0</v>
      </c>
      <c r="H24" s="16">
        <v>2.99</v>
      </c>
      <c r="I24" s="16">
        <f t="shared" si="1"/>
        <v>2957.11</v>
      </c>
    </row>
    <row r="25" ht="15.0" customHeight="1">
      <c r="A25" s="9" t="s">
        <v>81</v>
      </c>
      <c r="B25" s="14">
        <v>45766.0</v>
      </c>
      <c r="C25" s="9" t="s">
        <v>29</v>
      </c>
      <c r="D25" s="9" t="s">
        <v>67</v>
      </c>
      <c r="E25" s="9" t="s">
        <v>71</v>
      </c>
      <c r="F25" s="9" t="s">
        <v>74</v>
      </c>
      <c r="G25" s="15">
        <v>592.0</v>
      </c>
      <c r="H25" s="16">
        <v>1.89</v>
      </c>
      <c r="I25" s="16">
        <f t="shared" si="1"/>
        <v>1118.88</v>
      </c>
    </row>
    <row r="26" ht="15.0" customHeight="1">
      <c r="A26" s="9" t="s">
        <v>82</v>
      </c>
      <c r="B26" s="14">
        <v>45945.0</v>
      </c>
      <c r="C26" s="9" t="s">
        <v>29</v>
      </c>
      <c r="D26" s="9" t="s">
        <v>67</v>
      </c>
      <c r="E26" s="9" t="s">
        <v>54</v>
      </c>
      <c r="F26" s="9" t="s">
        <v>70</v>
      </c>
      <c r="G26" s="15">
        <v>867.0</v>
      </c>
      <c r="H26" s="16">
        <v>4.49</v>
      </c>
      <c r="I26" s="16">
        <f t="shared" si="1"/>
        <v>3892.83</v>
      </c>
    </row>
    <row r="27" ht="15.0" customHeight="1">
      <c r="A27" s="9" t="s">
        <v>82</v>
      </c>
      <c r="B27" s="14">
        <v>45945.0</v>
      </c>
      <c r="C27" s="9" t="s">
        <v>29</v>
      </c>
      <c r="D27" s="9" t="s">
        <v>67</v>
      </c>
      <c r="E27" s="9" t="s">
        <v>58</v>
      </c>
      <c r="F27" s="9" t="s">
        <v>65</v>
      </c>
      <c r="G27" s="15">
        <v>499.0</v>
      </c>
      <c r="H27" s="16">
        <v>8.99</v>
      </c>
      <c r="I27" s="16">
        <f t="shared" si="1"/>
        <v>4486.01</v>
      </c>
    </row>
    <row r="28" ht="15.0" customHeight="1">
      <c r="A28" s="9" t="s">
        <v>82</v>
      </c>
      <c r="B28" s="14">
        <v>45945.0</v>
      </c>
      <c r="C28" s="9" t="s">
        <v>29</v>
      </c>
      <c r="D28" s="9" t="s">
        <v>67</v>
      </c>
      <c r="E28" s="9" t="s">
        <v>71</v>
      </c>
      <c r="F28" s="9" t="s">
        <v>74</v>
      </c>
      <c r="G28" s="15">
        <v>1093.0</v>
      </c>
      <c r="H28" s="16">
        <v>1.89</v>
      </c>
      <c r="I28" s="16">
        <f t="shared" si="1"/>
        <v>2065.77</v>
      </c>
    </row>
    <row r="29" ht="15.0" customHeight="1">
      <c r="A29" s="9" t="s">
        <v>83</v>
      </c>
      <c r="B29" s="14">
        <v>45682.0</v>
      </c>
      <c r="C29" s="9" t="s">
        <v>32</v>
      </c>
      <c r="D29" s="9" t="s">
        <v>67</v>
      </c>
      <c r="E29" s="9" t="s">
        <v>71</v>
      </c>
      <c r="F29" s="9" t="s">
        <v>72</v>
      </c>
      <c r="G29" s="15">
        <v>377.0</v>
      </c>
      <c r="H29" s="16">
        <v>3.19</v>
      </c>
      <c r="I29" s="16">
        <f t="shared" si="1"/>
        <v>1202.63</v>
      </c>
    </row>
    <row r="30" ht="15.0" customHeight="1">
      <c r="A30" s="9" t="s">
        <v>84</v>
      </c>
      <c r="B30" s="14">
        <v>45874.0</v>
      </c>
      <c r="C30" s="9" t="s">
        <v>37</v>
      </c>
      <c r="D30" s="9" t="s">
        <v>67</v>
      </c>
      <c r="E30" s="9" t="s">
        <v>56</v>
      </c>
      <c r="F30" s="9" t="s">
        <v>79</v>
      </c>
      <c r="G30" s="15">
        <v>1008.0</v>
      </c>
      <c r="H30" s="16">
        <v>2.99</v>
      </c>
      <c r="I30" s="16">
        <f t="shared" si="1"/>
        <v>3013.92</v>
      </c>
    </row>
    <row r="31" ht="15.0" customHeight="1">
      <c r="A31" s="9" t="s">
        <v>84</v>
      </c>
      <c r="B31" s="14">
        <v>45874.0</v>
      </c>
      <c r="C31" s="9" t="s">
        <v>37</v>
      </c>
      <c r="D31" s="9" t="s">
        <v>67</v>
      </c>
      <c r="E31" s="9" t="s">
        <v>71</v>
      </c>
      <c r="F31" s="9" t="s">
        <v>72</v>
      </c>
      <c r="G31" s="15">
        <v>564.0</v>
      </c>
      <c r="H31" s="16">
        <v>3.19</v>
      </c>
      <c r="I31" s="16">
        <f t="shared" si="1"/>
        <v>1799.16</v>
      </c>
    </row>
    <row r="32" ht="15.0" customHeight="1">
      <c r="A32" s="9" t="s">
        <v>84</v>
      </c>
      <c r="B32" s="14">
        <v>45874.0</v>
      </c>
      <c r="C32" s="9" t="s">
        <v>37</v>
      </c>
      <c r="D32" s="9" t="s">
        <v>67</v>
      </c>
      <c r="E32" s="9" t="s">
        <v>54</v>
      </c>
      <c r="F32" s="9" t="s">
        <v>70</v>
      </c>
      <c r="G32" s="15">
        <v>1812.0</v>
      </c>
      <c r="H32" s="16">
        <v>4.49</v>
      </c>
      <c r="I32" s="16">
        <f t="shared" si="1"/>
        <v>8135.88</v>
      </c>
    </row>
    <row r="33" ht="15.0" customHeight="1">
      <c r="A33" s="9" t="s">
        <v>85</v>
      </c>
      <c r="B33" s="14">
        <v>46006.0</v>
      </c>
      <c r="C33" s="9" t="s">
        <v>43</v>
      </c>
      <c r="D33" s="9" t="s">
        <v>86</v>
      </c>
      <c r="E33" s="9" t="s">
        <v>56</v>
      </c>
      <c r="F33" s="9" t="s">
        <v>79</v>
      </c>
      <c r="G33" s="15">
        <v>746.0</v>
      </c>
      <c r="H33" s="16">
        <v>2.99</v>
      </c>
      <c r="I33" s="16">
        <f t="shared" si="1"/>
        <v>2230.54</v>
      </c>
    </row>
    <row r="34" ht="15.0" customHeight="1">
      <c r="A34" s="9" t="s">
        <v>85</v>
      </c>
      <c r="B34" s="14">
        <v>46006.0</v>
      </c>
      <c r="C34" s="9" t="s">
        <v>43</v>
      </c>
      <c r="D34" s="9" t="s">
        <v>86</v>
      </c>
      <c r="E34" s="9" t="s">
        <v>54</v>
      </c>
      <c r="F34" s="9" t="s">
        <v>55</v>
      </c>
      <c r="G34" s="15">
        <v>651.0</v>
      </c>
      <c r="H34" s="16">
        <v>5.99</v>
      </c>
      <c r="I34" s="16">
        <f t="shared" si="1"/>
        <v>3899.49</v>
      </c>
    </row>
    <row r="35" ht="15.0" customHeight="1">
      <c r="A35" s="9" t="s">
        <v>85</v>
      </c>
      <c r="B35" s="14">
        <v>46006.0</v>
      </c>
      <c r="C35" s="9" t="s">
        <v>43</v>
      </c>
      <c r="D35" s="9" t="s">
        <v>86</v>
      </c>
      <c r="E35" s="9" t="s">
        <v>71</v>
      </c>
      <c r="F35" s="9" t="s">
        <v>87</v>
      </c>
      <c r="G35" s="15">
        <v>373.0</v>
      </c>
      <c r="H35" s="16">
        <v>2.49</v>
      </c>
      <c r="I35" s="16">
        <f t="shared" si="1"/>
        <v>928.77</v>
      </c>
    </row>
    <row r="36" ht="15.0" customHeight="1">
      <c r="A36" s="9" t="s">
        <v>88</v>
      </c>
      <c r="B36" s="14">
        <v>45792.0</v>
      </c>
      <c r="C36" s="9" t="s">
        <v>32</v>
      </c>
      <c r="D36" s="9" t="s">
        <v>67</v>
      </c>
      <c r="E36" s="9" t="s">
        <v>71</v>
      </c>
      <c r="F36" s="9" t="s">
        <v>72</v>
      </c>
      <c r="G36" s="15">
        <v>661.0</v>
      </c>
      <c r="H36" s="16">
        <v>3.19</v>
      </c>
      <c r="I36" s="16">
        <f t="shared" si="1"/>
        <v>2108.59</v>
      </c>
    </row>
    <row r="37" ht="15.0" customHeight="1">
      <c r="A37" s="9" t="s">
        <v>88</v>
      </c>
      <c r="B37" s="14">
        <v>45792.0</v>
      </c>
      <c r="C37" s="9" t="s">
        <v>32</v>
      </c>
      <c r="D37" s="9" t="s">
        <v>67</v>
      </c>
      <c r="E37" s="9" t="s">
        <v>54</v>
      </c>
      <c r="F37" s="9" t="s">
        <v>70</v>
      </c>
      <c r="G37" s="15">
        <v>1089.0</v>
      </c>
      <c r="H37" s="16">
        <v>4.49</v>
      </c>
      <c r="I37" s="16">
        <f t="shared" si="1"/>
        <v>4889.61</v>
      </c>
    </row>
    <row r="38" ht="15.0" customHeight="1">
      <c r="A38" s="9" t="s">
        <v>88</v>
      </c>
      <c r="B38" s="14">
        <v>45792.0</v>
      </c>
      <c r="C38" s="9" t="s">
        <v>32</v>
      </c>
      <c r="D38" s="9" t="s">
        <v>67</v>
      </c>
      <c r="E38" s="9" t="s">
        <v>56</v>
      </c>
      <c r="F38" s="9" t="s">
        <v>79</v>
      </c>
      <c r="G38" s="15">
        <v>457.0</v>
      </c>
      <c r="H38" s="16">
        <v>2.99</v>
      </c>
      <c r="I38" s="16">
        <f t="shared" si="1"/>
        <v>1366.43</v>
      </c>
    </row>
    <row r="39" ht="15.0" customHeight="1">
      <c r="A39" s="9" t="s">
        <v>89</v>
      </c>
      <c r="B39" s="14">
        <v>45740.0</v>
      </c>
      <c r="C39" s="9" t="s">
        <v>29</v>
      </c>
      <c r="D39" s="9" t="s">
        <v>67</v>
      </c>
      <c r="E39" s="9" t="s">
        <v>56</v>
      </c>
      <c r="F39" s="9" t="s">
        <v>68</v>
      </c>
      <c r="G39" s="15">
        <v>89.0</v>
      </c>
      <c r="H39" s="16">
        <v>4.29</v>
      </c>
      <c r="I39" s="16">
        <f t="shared" si="1"/>
        <v>381.81</v>
      </c>
    </row>
    <row r="40" ht="15.0" customHeight="1">
      <c r="A40" s="9" t="s">
        <v>89</v>
      </c>
      <c r="B40" s="14">
        <v>45740.0</v>
      </c>
      <c r="C40" s="9" t="s">
        <v>29</v>
      </c>
      <c r="D40" s="9" t="s">
        <v>67</v>
      </c>
      <c r="E40" s="9" t="s">
        <v>54</v>
      </c>
      <c r="F40" s="9" t="s">
        <v>55</v>
      </c>
      <c r="G40" s="15">
        <v>1952.0</v>
      </c>
      <c r="H40" s="16">
        <v>5.99</v>
      </c>
      <c r="I40" s="16">
        <f t="shared" si="1"/>
        <v>11692.48</v>
      </c>
    </row>
    <row r="41" ht="15.0" customHeight="1">
      <c r="A41" s="9" t="s">
        <v>89</v>
      </c>
      <c r="B41" s="14">
        <v>45740.0</v>
      </c>
      <c r="C41" s="9" t="s">
        <v>29</v>
      </c>
      <c r="D41" s="9" t="s">
        <v>67</v>
      </c>
      <c r="E41" s="9" t="s">
        <v>71</v>
      </c>
      <c r="F41" s="9" t="s">
        <v>87</v>
      </c>
      <c r="G41" s="15">
        <v>1849.0</v>
      </c>
      <c r="H41" s="16">
        <v>2.49</v>
      </c>
      <c r="I41" s="16">
        <f t="shared" si="1"/>
        <v>4604.01</v>
      </c>
    </row>
    <row r="42" ht="15.0" customHeight="1">
      <c r="A42" s="9" t="s">
        <v>90</v>
      </c>
      <c r="B42" s="14">
        <v>45815.0</v>
      </c>
      <c r="C42" s="9" t="s">
        <v>43</v>
      </c>
      <c r="D42" s="9" t="s">
        <v>86</v>
      </c>
      <c r="E42" s="9" t="s">
        <v>56</v>
      </c>
      <c r="F42" s="9" t="s">
        <v>57</v>
      </c>
      <c r="G42" s="15">
        <v>1848.0</v>
      </c>
      <c r="H42" s="16">
        <v>3.49</v>
      </c>
      <c r="I42" s="16">
        <f t="shared" si="1"/>
        <v>6449.52</v>
      </c>
    </row>
    <row r="43" ht="15.0" customHeight="1">
      <c r="A43" s="9" t="s">
        <v>91</v>
      </c>
      <c r="B43" s="14">
        <v>45698.0</v>
      </c>
      <c r="C43" s="9" t="s">
        <v>33</v>
      </c>
      <c r="D43" s="9" t="s">
        <v>61</v>
      </c>
      <c r="E43" s="9" t="s">
        <v>58</v>
      </c>
      <c r="F43" s="9" t="s">
        <v>62</v>
      </c>
      <c r="G43" s="15">
        <v>1607.0</v>
      </c>
      <c r="H43" s="16">
        <v>6.29</v>
      </c>
      <c r="I43" s="16">
        <f t="shared" si="1"/>
        <v>10108.03</v>
      </c>
    </row>
    <row r="44" ht="15.0" customHeight="1">
      <c r="A44" s="9" t="s">
        <v>92</v>
      </c>
      <c r="B44" s="14">
        <v>45722.0</v>
      </c>
      <c r="C44" s="9" t="s">
        <v>33</v>
      </c>
      <c r="D44" s="9" t="s">
        <v>61</v>
      </c>
      <c r="E44" s="9" t="s">
        <v>58</v>
      </c>
      <c r="F44" s="9" t="s">
        <v>59</v>
      </c>
      <c r="G44" s="15">
        <v>388.0</v>
      </c>
      <c r="H44" s="16">
        <v>3.79</v>
      </c>
      <c r="I44" s="16">
        <f t="shared" si="1"/>
        <v>1470.52</v>
      </c>
    </row>
    <row r="45" ht="15.0" customHeight="1">
      <c r="A45" s="9" t="s">
        <v>93</v>
      </c>
      <c r="B45" s="14">
        <v>45968.0</v>
      </c>
      <c r="C45" s="9" t="s">
        <v>29</v>
      </c>
      <c r="D45" s="9" t="s">
        <v>67</v>
      </c>
      <c r="E45" s="9" t="s">
        <v>71</v>
      </c>
      <c r="F45" s="9" t="s">
        <v>72</v>
      </c>
      <c r="G45" s="15">
        <v>1462.0</v>
      </c>
      <c r="H45" s="16">
        <v>3.19</v>
      </c>
      <c r="I45" s="16">
        <f t="shared" si="1"/>
        <v>4663.78</v>
      </c>
    </row>
    <row r="46" ht="15.0" customHeight="1">
      <c r="A46" s="9" t="s">
        <v>93</v>
      </c>
      <c r="B46" s="14">
        <v>45968.0</v>
      </c>
      <c r="C46" s="9" t="s">
        <v>29</v>
      </c>
      <c r="D46" s="9" t="s">
        <v>67</v>
      </c>
      <c r="E46" s="9" t="s">
        <v>54</v>
      </c>
      <c r="F46" s="9" t="s">
        <v>55</v>
      </c>
      <c r="G46" s="15">
        <v>1510.0</v>
      </c>
      <c r="H46" s="16">
        <v>5.99</v>
      </c>
      <c r="I46" s="16">
        <f t="shared" si="1"/>
        <v>9044.9</v>
      </c>
    </row>
    <row r="47" ht="15.0" customHeight="1">
      <c r="A47" s="9" t="s">
        <v>94</v>
      </c>
      <c r="B47" s="14">
        <v>46001.0</v>
      </c>
      <c r="C47" s="9" t="s">
        <v>32</v>
      </c>
      <c r="D47" s="9" t="s">
        <v>67</v>
      </c>
      <c r="E47" s="9" t="s">
        <v>54</v>
      </c>
      <c r="F47" s="9" t="s">
        <v>55</v>
      </c>
      <c r="G47" s="15">
        <v>557.0</v>
      </c>
      <c r="H47" s="16">
        <v>5.99</v>
      </c>
      <c r="I47" s="16">
        <f t="shared" si="1"/>
        <v>3336.43</v>
      </c>
    </row>
    <row r="48" ht="15.0" customHeight="1">
      <c r="A48" s="9" t="s">
        <v>94</v>
      </c>
      <c r="B48" s="14">
        <v>46001.0</v>
      </c>
      <c r="C48" s="9" t="s">
        <v>32</v>
      </c>
      <c r="D48" s="9" t="s">
        <v>67</v>
      </c>
      <c r="E48" s="9" t="s">
        <v>71</v>
      </c>
      <c r="F48" s="9" t="s">
        <v>74</v>
      </c>
      <c r="G48" s="15">
        <v>181.0</v>
      </c>
      <c r="H48" s="16">
        <v>1.89</v>
      </c>
      <c r="I48" s="16">
        <f t="shared" si="1"/>
        <v>342.09</v>
      </c>
    </row>
    <row r="49" ht="15.0" customHeight="1">
      <c r="A49" s="9" t="s">
        <v>94</v>
      </c>
      <c r="B49" s="14">
        <v>46001.0</v>
      </c>
      <c r="C49" s="9" t="s">
        <v>32</v>
      </c>
      <c r="D49" s="9" t="s">
        <v>67</v>
      </c>
      <c r="E49" s="9" t="s">
        <v>58</v>
      </c>
      <c r="F49" s="9" t="s">
        <v>65</v>
      </c>
      <c r="G49" s="15">
        <v>93.0</v>
      </c>
      <c r="H49" s="16">
        <v>8.99</v>
      </c>
      <c r="I49" s="16">
        <f t="shared" si="1"/>
        <v>836.07</v>
      </c>
    </row>
    <row r="50" ht="15.0" customHeight="1">
      <c r="A50" s="9" t="s">
        <v>95</v>
      </c>
      <c r="B50" s="14">
        <v>45775.0</v>
      </c>
      <c r="C50" s="9" t="s">
        <v>33</v>
      </c>
      <c r="D50" s="9" t="s">
        <v>61</v>
      </c>
      <c r="E50" s="9" t="s">
        <v>71</v>
      </c>
      <c r="F50" s="9" t="s">
        <v>72</v>
      </c>
      <c r="G50" s="15">
        <v>1342.0</v>
      </c>
      <c r="H50" s="16">
        <v>3.19</v>
      </c>
      <c r="I50" s="16">
        <f t="shared" si="1"/>
        <v>4280.98</v>
      </c>
    </row>
    <row r="51" ht="15.0" customHeight="1">
      <c r="A51" s="9" t="s">
        <v>95</v>
      </c>
      <c r="B51" s="14">
        <v>45775.0</v>
      </c>
      <c r="C51" s="9" t="s">
        <v>33</v>
      </c>
      <c r="D51" s="9" t="s">
        <v>61</v>
      </c>
      <c r="E51" s="9" t="s">
        <v>56</v>
      </c>
      <c r="F51" s="9" t="s">
        <v>57</v>
      </c>
      <c r="G51" s="15">
        <v>518.0</v>
      </c>
      <c r="H51" s="16">
        <v>3.49</v>
      </c>
      <c r="I51" s="16">
        <f t="shared" si="1"/>
        <v>1807.82</v>
      </c>
    </row>
    <row r="52" ht="15.0" customHeight="1">
      <c r="A52" s="9" t="s">
        <v>95</v>
      </c>
      <c r="B52" s="14">
        <v>45775.0</v>
      </c>
      <c r="C52" s="9" t="s">
        <v>33</v>
      </c>
      <c r="D52" s="9" t="s">
        <v>61</v>
      </c>
      <c r="E52" s="9" t="s">
        <v>54</v>
      </c>
      <c r="F52" s="9" t="s">
        <v>55</v>
      </c>
      <c r="G52" s="15">
        <v>1904.0</v>
      </c>
      <c r="H52" s="16">
        <v>5.99</v>
      </c>
      <c r="I52" s="16">
        <f t="shared" si="1"/>
        <v>11404.96</v>
      </c>
    </row>
    <row r="53" ht="15.0" customHeight="1">
      <c r="A53" s="9" t="s">
        <v>96</v>
      </c>
      <c r="B53" s="14">
        <v>45827.0</v>
      </c>
      <c r="C53" s="9" t="s">
        <v>29</v>
      </c>
      <c r="D53" s="9" t="s">
        <v>67</v>
      </c>
      <c r="E53" s="9" t="s">
        <v>71</v>
      </c>
      <c r="F53" s="9" t="s">
        <v>87</v>
      </c>
      <c r="G53" s="15">
        <v>1420.0</v>
      </c>
      <c r="H53" s="16">
        <v>2.49</v>
      </c>
      <c r="I53" s="16">
        <f t="shared" si="1"/>
        <v>3535.8</v>
      </c>
    </row>
    <row r="54" ht="15.0" customHeight="1">
      <c r="A54" s="9" t="s">
        <v>97</v>
      </c>
      <c r="B54" s="14">
        <v>45934.0</v>
      </c>
      <c r="C54" s="9" t="s">
        <v>32</v>
      </c>
      <c r="D54" s="9" t="s">
        <v>67</v>
      </c>
      <c r="E54" s="9" t="s">
        <v>58</v>
      </c>
      <c r="F54" s="9" t="s">
        <v>62</v>
      </c>
      <c r="G54" s="15">
        <v>1656.0</v>
      </c>
      <c r="H54" s="16">
        <v>6.29</v>
      </c>
      <c r="I54" s="16">
        <f t="shared" si="1"/>
        <v>10416.24</v>
      </c>
    </row>
    <row r="55" ht="15.0" customHeight="1">
      <c r="A55" s="9" t="s">
        <v>98</v>
      </c>
      <c r="B55" s="14">
        <v>45866.0</v>
      </c>
      <c r="C55" s="9" t="s">
        <v>32</v>
      </c>
      <c r="D55" s="9" t="s">
        <v>67</v>
      </c>
      <c r="E55" s="9" t="s">
        <v>56</v>
      </c>
      <c r="F55" s="9" t="s">
        <v>57</v>
      </c>
      <c r="G55" s="15">
        <v>1399.0</v>
      </c>
      <c r="H55" s="16">
        <v>3.49</v>
      </c>
      <c r="I55" s="16">
        <f t="shared" si="1"/>
        <v>4882.51</v>
      </c>
    </row>
    <row r="56" ht="15.0" customHeight="1">
      <c r="A56" s="9" t="s">
        <v>99</v>
      </c>
      <c r="B56" s="14">
        <v>45874.0</v>
      </c>
      <c r="C56" s="9" t="s">
        <v>32</v>
      </c>
      <c r="D56" s="9" t="s">
        <v>67</v>
      </c>
      <c r="E56" s="9" t="s">
        <v>58</v>
      </c>
      <c r="F56" s="9" t="s">
        <v>62</v>
      </c>
      <c r="G56" s="15">
        <v>1429.0</v>
      </c>
      <c r="H56" s="16">
        <v>6.29</v>
      </c>
      <c r="I56" s="16">
        <f t="shared" si="1"/>
        <v>8988.41</v>
      </c>
    </row>
    <row r="57" ht="15.0" customHeight="1">
      <c r="A57" s="9" t="s">
        <v>99</v>
      </c>
      <c r="B57" s="14">
        <v>45874.0</v>
      </c>
      <c r="C57" s="9" t="s">
        <v>32</v>
      </c>
      <c r="D57" s="9" t="s">
        <v>67</v>
      </c>
      <c r="E57" s="9" t="s">
        <v>54</v>
      </c>
      <c r="F57" s="9" t="s">
        <v>70</v>
      </c>
      <c r="G57" s="15">
        <v>1373.0</v>
      </c>
      <c r="H57" s="16">
        <v>4.49</v>
      </c>
      <c r="I57" s="16">
        <f t="shared" si="1"/>
        <v>6164.77</v>
      </c>
    </row>
    <row r="58" ht="15.0" customHeight="1">
      <c r="A58" s="9" t="s">
        <v>100</v>
      </c>
      <c r="B58" s="14">
        <v>45864.0</v>
      </c>
      <c r="C58" s="9" t="s">
        <v>29</v>
      </c>
      <c r="D58" s="9" t="s">
        <v>67</v>
      </c>
      <c r="E58" s="9" t="s">
        <v>54</v>
      </c>
      <c r="F58" s="9" t="s">
        <v>55</v>
      </c>
      <c r="G58" s="15">
        <v>439.0</v>
      </c>
      <c r="H58" s="16">
        <v>5.99</v>
      </c>
      <c r="I58" s="16">
        <f t="shared" si="1"/>
        <v>2629.61</v>
      </c>
    </row>
    <row r="59" ht="15.0" customHeight="1">
      <c r="A59" s="9" t="s">
        <v>100</v>
      </c>
      <c r="B59" s="14">
        <v>45864.0</v>
      </c>
      <c r="C59" s="9" t="s">
        <v>29</v>
      </c>
      <c r="D59" s="9" t="s">
        <v>67</v>
      </c>
      <c r="E59" s="9" t="s">
        <v>56</v>
      </c>
      <c r="F59" s="9" t="s">
        <v>79</v>
      </c>
      <c r="G59" s="15">
        <v>968.0</v>
      </c>
      <c r="H59" s="16">
        <v>2.99</v>
      </c>
      <c r="I59" s="16">
        <f t="shared" si="1"/>
        <v>2894.32</v>
      </c>
    </row>
    <row r="60" ht="15.0" customHeight="1">
      <c r="A60" s="9" t="s">
        <v>100</v>
      </c>
      <c r="B60" s="14">
        <v>45864.0</v>
      </c>
      <c r="C60" s="9" t="s">
        <v>29</v>
      </c>
      <c r="D60" s="9" t="s">
        <v>67</v>
      </c>
      <c r="E60" s="9" t="s">
        <v>58</v>
      </c>
      <c r="F60" s="9" t="s">
        <v>62</v>
      </c>
      <c r="G60" s="15">
        <v>914.0</v>
      </c>
      <c r="H60" s="16">
        <v>6.29</v>
      </c>
      <c r="I60" s="16">
        <f t="shared" si="1"/>
        <v>5749.06</v>
      </c>
    </row>
    <row r="61" ht="15.0" customHeight="1">
      <c r="A61" s="9" t="s">
        <v>101</v>
      </c>
      <c r="B61" s="14">
        <v>45894.0</v>
      </c>
      <c r="C61" s="9" t="s">
        <v>29</v>
      </c>
      <c r="D61" s="9" t="s">
        <v>67</v>
      </c>
      <c r="E61" s="9" t="s">
        <v>56</v>
      </c>
      <c r="F61" s="9" t="s">
        <v>68</v>
      </c>
      <c r="G61" s="15">
        <v>1704.0</v>
      </c>
      <c r="H61" s="16">
        <v>4.29</v>
      </c>
      <c r="I61" s="16">
        <f t="shared" si="1"/>
        <v>7310.16</v>
      </c>
    </row>
    <row r="62" ht="15.0" customHeight="1">
      <c r="A62" s="9" t="s">
        <v>102</v>
      </c>
      <c r="B62" s="14">
        <v>45939.0</v>
      </c>
      <c r="C62" s="9" t="s">
        <v>38</v>
      </c>
      <c r="D62" s="9" t="s">
        <v>61</v>
      </c>
      <c r="E62" s="9" t="s">
        <v>56</v>
      </c>
      <c r="F62" s="9" t="s">
        <v>79</v>
      </c>
      <c r="G62" s="15">
        <v>1157.0</v>
      </c>
      <c r="H62" s="16">
        <v>2.99</v>
      </c>
      <c r="I62" s="16">
        <f t="shared" si="1"/>
        <v>3459.43</v>
      </c>
    </row>
    <row r="63" ht="15.0" customHeight="1">
      <c r="A63" s="9" t="s">
        <v>103</v>
      </c>
      <c r="B63" s="14">
        <v>45705.0</v>
      </c>
      <c r="C63" s="9" t="s">
        <v>38</v>
      </c>
      <c r="D63" s="9" t="s">
        <v>61</v>
      </c>
      <c r="E63" s="9" t="s">
        <v>71</v>
      </c>
      <c r="F63" s="9" t="s">
        <v>87</v>
      </c>
      <c r="G63" s="15">
        <v>1044.0</v>
      </c>
      <c r="H63" s="16">
        <v>2.49</v>
      </c>
      <c r="I63" s="16">
        <f t="shared" si="1"/>
        <v>2599.56</v>
      </c>
    </row>
    <row r="64" ht="15.0" customHeight="1">
      <c r="A64" s="9" t="s">
        <v>104</v>
      </c>
      <c r="B64" s="14">
        <v>45863.0</v>
      </c>
      <c r="C64" s="9" t="s">
        <v>32</v>
      </c>
      <c r="D64" s="9" t="s">
        <v>67</v>
      </c>
      <c r="E64" s="9" t="s">
        <v>71</v>
      </c>
      <c r="F64" s="9" t="s">
        <v>87</v>
      </c>
      <c r="G64" s="15">
        <v>54.0</v>
      </c>
      <c r="H64" s="16">
        <v>2.49</v>
      </c>
      <c r="I64" s="16">
        <f t="shared" si="1"/>
        <v>134.46</v>
      </c>
    </row>
    <row r="65" ht="15.0" customHeight="1">
      <c r="A65" s="9" t="s">
        <v>105</v>
      </c>
      <c r="B65" s="14">
        <v>45793.0</v>
      </c>
      <c r="C65" s="9" t="s">
        <v>43</v>
      </c>
      <c r="D65" s="9" t="s">
        <v>86</v>
      </c>
      <c r="E65" s="9" t="s">
        <v>54</v>
      </c>
      <c r="F65" s="9" t="s">
        <v>70</v>
      </c>
      <c r="G65" s="15">
        <v>1546.0</v>
      </c>
      <c r="H65" s="16">
        <v>4.49</v>
      </c>
      <c r="I65" s="16">
        <f t="shared" si="1"/>
        <v>6941.54</v>
      </c>
    </row>
    <row r="66" ht="15.0" customHeight="1">
      <c r="A66" s="9" t="s">
        <v>105</v>
      </c>
      <c r="B66" s="14">
        <v>45793.0</v>
      </c>
      <c r="C66" s="9" t="s">
        <v>43</v>
      </c>
      <c r="D66" s="9" t="s">
        <v>86</v>
      </c>
      <c r="E66" s="9" t="s">
        <v>71</v>
      </c>
      <c r="F66" s="9" t="s">
        <v>72</v>
      </c>
      <c r="G66" s="15">
        <v>1405.0</v>
      </c>
      <c r="H66" s="16">
        <v>3.19</v>
      </c>
      <c r="I66" s="16">
        <f t="shared" si="1"/>
        <v>4481.95</v>
      </c>
    </row>
    <row r="67" ht="15.0" customHeight="1">
      <c r="A67" s="9" t="s">
        <v>106</v>
      </c>
      <c r="B67" s="14">
        <v>45737.0</v>
      </c>
      <c r="C67" s="9" t="s">
        <v>36</v>
      </c>
      <c r="D67" s="9" t="s">
        <v>53</v>
      </c>
      <c r="E67" s="9" t="s">
        <v>54</v>
      </c>
      <c r="F67" s="9" t="s">
        <v>55</v>
      </c>
      <c r="G67" s="15">
        <v>169.0</v>
      </c>
      <c r="H67" s="16">
        <v>5.99</v>
      </c>
      <c r="I67" s="16">
        <f t="shared" si="1"/>
        <v>1012.31</v>
      </c>
    </row>
    <row r="68" ht="15.0" customHeight="1">
      <c r="A68" s="9" t="s">
        <v>107</v>
      </c>
      <c r="B68" s="14">
        <v>45935.0</v>
      </c>
      <c r="C68" s="9" t="s">
        <v>33</v>
      </c>
      <c r="D68" s="9" t="s">
        <v>61</v>
      </c>
      <c r="E68" s="9" t="s">
        <v>54</v>
      </c>
      <c r="F68" s="9" t="s">
        <v>55</v>
      </c>
      <c r="G68" s="15">
        <v>152.0</v>
      </c>
      <c r="H68" s="16">
        <v>5.99</v>
      </c>
      <c r="I68" s="16">
        <f t="shared" si="1"/>
        <v>910.48</v>
      </c>
    </row>
    <row r="69" ht="15.0" customHeight="1">
      <c r="A69" s="9" t="s">
        <v>108</v>
      </c>
      <c r="B69" s="14">
        <v>45915.0</v>
      </c>
      <c r="C69" s="9" t="s">
        <v>33</v>
      </c>
      <c r="D69" s="9" t="s">
        <v>61</v>
      </c>
      <c r="E69" s="9" t="s">
        <v>71</v>
      </c>
      <c r="F69" s="9" t="s">
        <v>74</v>
      </c>
      <c r="G69" s="15">
        <v>190.0</v>
      </c>
      <c r="H69" s="16">
        <v>1.89</v>
      </c>
      <c r="I69" s="16">
        <f t="shared" si="1"/>
        <v>359.1</v>
      </c>
    </row>
    <row r="70" ht="15.0" customHeight="1">
      <c r="A70" s="9" t="s">
        <v>108</v>
      </c>
      <c r="B70" s="14">
        <v>45915.0</v>
      </c>
      <c r="C70" s="9" t="s">
        <v>33</v>
      </c>
      <c r="D70" s="9" t="s">
        <v>61</v>
      </c>
      <c r="E70" s="9" t="s">
        <v>56</v>
      </c>
      <c r="F70" s="9" t="s">
        <v>79</v>
      </c>
      <c r="G70" s="15">
        <v>189.0</v>
      </c>
      <c r="H70" s="16">
        <v>2.99</v>
      </c>
      <c r="I70" s="16">
        <f t="shared" si="1"/>
        <v>565.11</v>
      </c>
    </row>
    <row r="71" ht="15.0" customHeight="1">
      <c r="A71" s="9" t="s">
        <v>108</v>
      </c>
      <c r="B71" s="14">
        <v>45915.0</v>
      </c>
      <c r="C71" s="9" t="s">
        <v>33</v>
      </c>
      <c r="D71" s="9" t="s">
        <v>61</v>
      </c>
      <c r="E71" s="9" t="s">
        <v>54</v>
      </c>
      <c r="F71" s="9" t="s">
        <v>70</v>
      </c>
      <c r="G71" s="15">
        <v>1815.0</v>
      </c>
      <c r="H71" s="16">
        <v>4.49</v>
      </c>
      <c r="I71" s="16">
        <f t="shared" si="1"/>
        <v>8149.35</v>
      </c>
    </row>
    <row r="72" ht="15.0" customHeight="1">
      <c r="A72" s="9" t="s">
        <v>109</v>
      </c>
      <c r="B72" s="14">
        <v>45719.0</v>
      </c>
      <c r="C72" s="9" t="s">
        <v>29</v>
      </c>
      <c r="D72" s="9" t="s">
        <v>67</v>
      </c>
      <c r="E72" s="9" t="s">
        <v>71</v>
      </c>
      <c r="F72" s="9" t="s">
        <v>72</v>
      </c>
      <c r="G72" s="15">
        <v>217.0</v>
      </c>
      <c r="H72" s="16">
        <v>3.19</v>
      </c>
      <c r="I72" s="16">
        <f t="shared" si="1"/>
        <v>692.23</v>
      </c>
    </row>
    <row r="73" ht="15.0" customHeight="1">
      <c r="A73" s="9" t="s">
        <v>109</v>
      </c>
      <c r="B73" s="14">
        <v>45719.0</v>
      </c>
      <c r="C73" s="9" t="s">
        <v>29</v>
      </c>
      <c r="D73" s="9" t="s">
        <v>67</v>
      </c>
      <c r="E73" s="9" t="s">
        <v>54</v>
      </c>
      <c r="F73" s="9" t="s">
        <v>77</v>
      </c>
      <c r="G73" s="15">
        <v>1396.0</v>
      </c>
      <c r="H73" s="16">
        <v>7.49</v>
      </c>
      <c r="I73" s="16">
        <f t="shared" si="1"/>
        <v>10456.04</v>
      </c>
    </row>
    <row r="74" ht="15.0" customHeight="1">
      <c r="A74" s="9" t="s">
        <v>109</v>
      </c>
      <c r="B74" s="14">
        <v>45719.0</v>
      </c>
      <c r="C74" s="9" t="s">
        <v>29</v>
      </c>
      <c r="D74" s="9" t="s">
        <v>67</v>
      </c>
      <c r="E74" s="9" t="s">
        <v>56</v>
      </c>
      <c r="F74" s="9" t="s">
        <v>79</v>
      </c>
      <c r="G74" s="15">
        <v>1207.0</v>
      </c>
      <c r="H74" s="16">
        <v>2.99</v>
      </c>
      <c r="I74" s="16">
        <f t="shared" si="1"/>
        <v>3608.93</v>
      </c>
    </row>
    <row r="75" ht="15.0" customHeight="1">
      <c r="A75" s="9" t="s">
        <v>110</v>
      </c>
      <c r="B75" s="14">
        <v>45791.0</v>
      </c>
      <c r="C75" s="9" t="s">
        <v>33</v>
      </c>
      <c r="D75" s="9" t="s">
        <v>61</v>
      </c>
      <c r="E75" s="9" t="s">
        <v>54</v>
      </c>
      <c r="F75" s="9" t="s">
        <v>55</v>
      </c>
      <c r="G75" s="15">
        <v>593.0</v>
      </c>
      <c r="H75" s="16">
        <v>5.99</v>
      </c>
      <c r="I75" s="16">
        <f t="shared" si="1"/>
        <v>3552.07</v>
      </c>
    </row>
    <row r="76" ht="15.0" customHeight="1">
      <c r="A76" s="9" t="s">
        <v>111</v>
      </c>
      <c r="B76" s="14">
        <v>46001.0</v>
      </c>
      <c r="C76" s="9" t="s">
        <v>32</v>
      </c>
      <c r="D76" s="9" t="s">
        <v>67</v>
      </c>
      <c r="E76" s="9" t="s">
        <v>54</v>
      </c>
      <c r="F76" s="9" t="s">
        <v>55</v>
      </c>
      <c r="G76" s="15">
        <v>69.0</v>
      </c>
      <c r="H76" s="16">
        <v>5.99</v>
      </c>
      <c r="I76" s="16">
        <f t="shared" si="1"/>
        <v>413.31</v>
      </c>
    </row>
    <row r="77" ht="15.0" customHeight="1">
      <c r="A77" s="9" t="s">
        <v>111</v>
      </c>
      <c r="B77" s="14">
        <v>46001.0</v>
      </c>
      <c r="C77" s="9" t="s">
        <v>32</v>
      </c>
      <c r="D77" s="9" t="s">
        <v>67</v>
      </c>
      <c r="E77" s="9" t="s">
        <v>71</v>
      </c>
      <c r="F77" s="9" t="s">
        <v>87</v>
      </c>
      <c r="G77" s="15">
        <v>1322.0</v>
      </c>
      <c r="H77" s="16">
        <v>2.49</v>
      </c>
      <c r="I77" s="16">
        <f t="shared" si="1"/>
        <v>3291.78</v>
      </c>
    </row>
    <row r="78" ht="15.0" customHeight="1">
      <c r="A78" s="9" t="s">
        <v>111</v>
      </c>
      <c r="B78" s="14">
        <v>46001.0</v>
      </c>
      <c r="C78" s="9" t="s">
        <v>32</v>
      </c>
      <c r="D78" s="9" t="s">
        <v>67</v>
      </c>
      <c r="E78" s="9" t="s">
        <v>58</v>
      </c>
      <c r="F78" s="9" t="s">
        <v>59</v>
      </c>
      <c r="G78" s="15">
        <v>254.0</v>
      </c>
      <c r="H78" s="16">
        <v>3.79</v>
      </c>
      <c r="I78" s="16">
        <f t="shared" si="1"/>
        <v>962.66</v>
      </c>
    </row>
    <row r="79" ht="15.0" customHeight="1">
      <c r="A79" s="9" t="s">
        <v>112</v>
      </c>
      <c r="B79" s="14">
        <v>45767.0</v>
      </c>
      <c r="C79" s="9" t="s">
        <v>29</v>
      </c>
      <c r="D79" s="9" t="s">
        <v>67</v>
      </c>
      <c r="E79" s="9" t="s">
        <v>54</v>
      </c>
      <c r="F79" s="9" t="s">
        <v>55</v>
      </c>
      <c r="G79" s="15">
        <v>1850.0</v>
      </c>
      <c r="H79" s="16">
        <v>5.99</v>
      </c>
      <c r="I79" s="16">
        <f t="shared" si="1"/>
        <v>11081.5</v>
      </c>
    </row>
    <row r="80" ht="15.0" customHeight="1">
      <c r="A80" s="9" t="s">
        <v>112</v>
      </c>
      <c r="B80" s="14">
        <v>45767.0</v>
      </c>
      <c r="C80" s="9" t="s">
        <v>29</v>
      </c>
      <c r="D80" s="9" t="s">
        <v>67</v>
      </c>
      <c r="E80" s="9" t="s">
        <v>56</v>
      </c>
      <c r="F80" s="9" t="s">
        <v>57</v>
      </c>
      <c r="G80" s="15">
        <v>806.0</v>
      </c>
      <c r="H80" s="16">
        <v>3.49</v>
      </c>
      <c r="I80" s="16">
        <f t="shared" si="1"/>
        <v>2812.94</v>
      </c>
    </row>
    <row r="81" ht="15.0" customHeight="1">
      <c r="A81" s="9" t="s">
        <v>112</v>
      </c>
      <c r="B81" s="14">
        <v>45767.0</v>
      </c>
      <c r="C81" s="9" t="s">
        <v>29</v>
      </c>
      <c r="D81" s="9" t="s">
        <v>67</v>
      </c>
      <c r="E81" s="9" t="s">
        <v>71</v>
      </c>
      <c r="F81" s="9" t="s">
        <v>87</v>
      </c>
      <c r="G81" s="15">
        <v>373.0</v>
      </c>
      <c r="H81" s="16">
        <v>2.49</v>
      </c>
      <c r="I81" s="16">
        <f t="shared" si="1"/>
        <v>928.77</v>
      </c>
    </row>
    <row r="82" ht="15.0" customHeight="1">
      <c r="A82" s="9" t="s">
        <v>113</v>
      </c>
      <c r="B82" s="14">
        <v>45936.0</v>
      </c>
      <c r="C82" s="9" t="s">
        <v>32</v>
      </c>
      <c r="D82" s="9" t="s">
        <v>67</v>
      </c>
      <c r="E82" s="9" t="s">
        <v>54</v>
      </c>
      <c r="F82" s="9" t="s">
        <v>70</v>
      </c>
      <c r="G82" s="15">
        <v>1723.0</v>
      </c>
      <c r="H82" s="16">
        <v>4.49</v>
      </c>
      <c r="I82" s="16">
        <f t="shared" si="1"/>
        <v>7736.27</v>
      </c>
    </row>
    <row r="83" ht="15.0" customHeight="1">
      <c r="A83" s="9" t="s">
        <v>113</v>
      </c>
      <c r="B83" s="14">
        <v>45936.0</v>
      </c>
      <c r="C83" s="9" t="s">
        <v>32</v>
      </c>
      <c r="D83" s="9" t="s">
        <v>67</v>
      </c>
      <c r="E83" s="9" t="s">
        <v>58</v>
      </c>
      <c r="F83" s="9" t="s">
        <v>59</v>
      </c>
      <c r="G83" s="15">
        <v>663.0</v>
      </c>
      <c r="H83" s="16">
        <v>3.79</v>
      </c>
      <c r="I83" s="16">
        <f t="shared" si="1"/>
        <v>2512.77</v>
      </c>
    </row>
    <row r="84" ht="15.0" customHeight="1">
      <c r="A84" s="9" t="s">
        <v>113</v>
      </c>
      <c r="B84" s="14">
        <v>45936.0</v>
      </c>
      <c r="C84" s="9" t="s">
        <v>32</v>
      </c>
      <c r="D84" s="9" t="s">
        <v>67</v>
      </c>
      <c r="E84" s="9" t="s">
        <v>56</v>
      </c>
      <c r="F84" s="9" t="s">
        <v>79</v>
      </c>
      <c r="G84" s="15">
        <v>262.0</v>
      </c>
      <c r="H84" s="16">
        <v>2.99</v>
      </c>
      <c r="I84" s="16">
        <f t="shared" si="1"/>
        <v>783.38</v>
      </c>
    </row>
    <row r="85" ht="15.0" customHeight="1">
      <c r="A85" s="9" t="s">
        <v>114</v>
      </c>
      <c r="B85" s="14">
        <v>45726.0</v>
      </c>
      <c r="C85" s="9" t="s">
        <v>41</v>
      </c>
      <c r="D85" s="9" t="s">
        <v>86</v>
      </c>
      <c r="E85" s="9" t="s">
        <v>56</v>
      </c>
      <c r="F85" s="9" t="s">
        <v>79</v>
      </c>
      <c r="G85" s="15">
        <v>1183.0</v>
      </c>
      <c r="H85" s="16">
        <v>2.99</v>
      </c>
      <c r="I85" s="16">
        <f t="shared" si="1"/>
        <v>3537.17</v>
      </c>
    </row>
    <row r="86" ht="15.0" customHeight="1">
      <c r="A86" s="9" t="s">
        <v>114</v>
      </c>
      <c r="B86" s="14">
        <v>45726.0</v>
      </c>
      <c r="C86" s="9" t="s">
        <v>41</v>
      </c>
      <c r="D86" s="9" t="s">
        <v>86</v>
      </c>
      <c r="E86" s="9" t="s">
        <v>58</v>
      </c>
      <c r="F86" s="9" t="s">
        <v>62</v>
      </c>
      <c r="G86" s="15">
        <v>607.0</v>
      </c>
      <c r="H86" s="16">
        <v>6.29</v>
      </c>
      <c r="I86" s="16">
        <f t="shared" si="1"/>
        <v>3818.03</v>
      </c>
    </row>
    <row r="87" ht="15.0" customHeight="1">
      <c r="A87" s="9" t="s">
        <v>115</v>
      </c>
      <c r="B87" s="14">
        <v>45765.0</v>
      </c>
      <c r="C87" s="9" t="s">
        <v>29</v>
      </c>
      <c r="D87" s="9" t="s">
        <v>67</v>
      </c>
      <c r="E87" s="9" t="s">
        <v>54</v>
      </c>
      <c r="F87" s="9" t="s">
        <v>70</v>
      </c>
      <c r="G87" s="15">
        <v>1050.0</v>
      </c>
      <c r="H87" s="16">
        <v>4.49</v>
      </c>
      <c r="I87" s="16">
        <f t="shared" si="1"/>
        <v>4714.5</v>
      </c>
    </row>
    <row r="88" ht="15.0" customHeight="1">
      <c r="A88" s="9" t="s">
        <v>115</v>
      </c>
      <c r="B88" s="14">
        <v>45765.0</v>
      </c>
      <c r="C88" s="9" t="s">
        <v>29</v>
      </c>
      <c r="D88" s="9" t="s">
        <v>67</v>
      </c>
      <c r="E88" s="9" t="s">
        <v>56</v>
      </c>
      <c r="F88" s="9" t="s">
        <v>68</v>
      </c>
      <c r="G88" s="15">
        <v>1904.0</v>
      </c>
      <c r="H88" s="16">
        <v>4.29</v>
      </c>
      <c r="I88" s="16">
        <f t="shared" si="1"/>
        <v>8168.16</v>
      </c>
    </row>
    <row r="89" ht="15.0" customHeight="1">
      <c r="A89" s="9" t="s">
        <v>115</v>
      </c>
      <c r="B89" s="14">
        <v>45765.0</v>
      </c>
      <c r="C89" s="9" t="s">
        <v>29</v>
      </c>
      <c r="D89" s="9" t="s">
        <v>67</v>
      </c>
      <c r="E89" s="9" t="s">
        <v>71</v>
      </c>
      <c r="F89" s="9" t="s">
        <v>74</v>
      </c>
      <c r="G89" s="15">
        <v>239.0</v>
      </c>
      <c r="H89" s="16">
        <v>1.89</v>
      </c>
      <c r="I89" s="16">
        <f t="shared" si="1"/>
        <v>451.71</v>
      </c>
    </row>
    <row r="90" ht="15.0" customHeight="1">
      <c r="A90" s="9" t="s">
        <v>116</v>
      </c>
      <c r="B90" s="14">
        <v>45799.0</v>
      </c>
      <c r="C90" s="9" t="s">
        <v>36</v>
      </c>
      <c r="D90" s="9" t="s">
        <v>53</v>
      </c>
      <c r="E90" s="9" t="s">
        <v>56</v>
      </c>
      <c r="F90" s="9" t="s">
        <v>68</v>
      </c>
      <c r="G90" s="15">
        <v>1629.0</v>
      </c>
      <c r="H90" s="16">
        <v>4.29</v>
      </c>
      <c r="I90" s="16">
        <f t="shared" si="1"/>
        <v>6988.41</v>
      </c>
    </row>
    <row r="91" ht="15.0" customHeight="1">
      <c r="A91" s="9" t="s">
        <v>117</v>
      </c>
      <c r="B91" s="14">
        <v>45792.0</v>
      </c>
      <c r="C91" s="9" t="s">
        <v>29</v>
      </c>
      <c r="D91" s="9" t="s">
        <v>67</v>
      </c>
      <c r="E91" s="9" t="s">
        <v>58</v>
      </c>
      <c r="F91" s="9" t="s">
        <v>59</v>
      </c>
      <c r="G91" s="15">
        <v>1495.0</v>
      </c>
      <c r="H91" s="16">
        <v>3.79</v>
      </c>
      <c r="I91" s="16">
        <f t="shared" si="1"/>
        <v>5666.05</v>
      </c>
    </row>
    <row r="92" ht="15.0" customHeight="1">
      <c r="A92" s="9" t="s">
        <v>118</v>
      </c>
      <c r="B92" s="14">
        <v>45662.0</v>
      </c>
      <c r="C92" s="9" t="s">
        <v>32</v>
      </c>
      <c r="D92" s="9" t="s">
        <v>67</v>
      </c>
      <c r="E92" s="9" t="s">
        <v>56</v>
      </c>
      <c r="F92" s="9" t="s">
        <v>79</v>
      </c>
      <c r="G92" s="15">
        <v>1901.0</v>
      </c>
      <c r="H92" s="16">
        <v>2.99</v>
      </c>
      <c r="I92" s="16">
        <f t="shared" si="1"/>
        <v>5683.99</v>
      </c>
    </row>
    <row r="93" ht="15.0" customHeight="1">
      <c r="A93" s="9" t="s">
        <v>119</v>
      </c>
      <c r="B93" s="14">
        <v>45676.0</v>
      </c>
      <c r="C93" s="9" t="s">
        <v>29</v>
      </c>
      <c r="D93" s="9" t="s">
        <v>67</v>
      </c>
      <c r="E93" s="9" t="s">
        <v>71</v>
      </c>
      <c r="F93" s="9" t="s">
        <v>74</v>
      </c>
      <c r="G93" s="15">
        <v>135.0</v>
      </c>
      <c r="H93" s="16">
        <v>1.89</v>
      </c>
      <c r="I93" s="16">
        <f t="shared" si="1"/>
        <v>255.15</v>
      </c>
    </row>
    <row r="94" ht="15.0" customHeight="1">
      <c r="A94" s="9" t="s">
        <v>119</v>
      </c>
      <c r="B94" s="14">
        <v>45676.0</v>
      </c>
      <c r="C94" s="9" t="s">
        <v>29</v>
      </c>
      <c r="D94" s="9" t="s">
        <v>67</v>
      </c>
      <c r="E94" s="9" t="s">
        <v>58</v>
      </c>
      <c r="F94" s="9" t="s">
        <v>65</v>
      </c>
      <c r="G94" s="15">
        <v>796.0</v>
      </c>
      <c r="H94" s="16">
        <v>8.99</v>
      </c>
      <c r="I94" s="16">
        <f t="shared" si="1"/>
        <v>7156.04</v>
      </c>
    </row>
    <row r="95" ht="15.0" customHeight="1">
      <c r="A95" s="9" t="s">
        <v>120</v>
      </c>
      <c r="B95" s="14">
        <v>45678.0</v>
      </c>
      <c r="C95" s="9" t="s">
        <v>41</v>
      </c>
      <c r="D95" s="9" t="s">
        <v>86</v>
      </c>
      <c r="E95" s="9" t="s">
        <v>71</v>
      </c>
      <c r="F95" s="9" t="s">
        <v>74</v>
      </c>
      <c r="G95" s="15">
        <v>1415.0</v>
      </c>
      <c r="H95" s="16">
        <v>1.89</v>
      </c>
      <c r="I95" s="16">
        <f t="shared" si="1"/>
        <v>2674.35</v>
      </c>
    </row>
    <row r="96" ht="15.0" customHeight="1">
      <c r="A96" s="9" t="s">
        <v>120</v>
      </c>
      <c r="B96" s="14">
        <v>45678.0</v>
      </c>
      <c r="C96" s="9" t="s">
        <v>41</v>
      </c>
      <c r="D96" s="9" t="s">
        <v>86</v>
      </c>
      <c r="E96" s="9" t="s">
        <v>54</v>
      </c>
      <c r="F96" s="9" t="s">
        <v>55</v>
      </c>
      <c r="G96" s="15">
        <v>774.0</v>
      </c>
      <c r="H96" s="16">
        <v>5.99</v>
      </c>
      <c r="I96" s="16">
        <f t="shared" si="1"/>
        <v>4636.26</v>
      </c>
    </row>
    <row r="97" ht="15.0" customHeight="1">
      <c r="A97" s="9" t="s">
        <v>121</v>
      </c>
      <c r="B97" s="14">
        <v>45866.0</v>
      </c>
      <c r="C97" s="9" t="s">
        <v>37</v>
      </c>
      <c r="D97" s="9" t="s">
        <v>67</v>
      </c>
      <c r="E97" s="9" t="s">
        <v>71</v>
      </c>
      <c r="F97" s="9" t="s">
        <v>74</v>
      </c>
      <c r="G97" s="15">
        <v>1855.0</v>
      </c>
      <c r="H97" s="16">
        <v>1.89</v>
      </c>
      <c r="I97" s="16">
        <f t="shared" si="1"/>
        <v>3505.95</v>
      </c>
    </row>
    <row r="98" ht="15.0" customHeight="1">
      <c r="A98" s="9" t="s">
        <v>121</v>
      </c>
      <c r="B98" s="14">
        <v>45866.0</v>
      </c>
      <c r="C98" s="9" t="s">
        <v>37</v>
      </c>
      <c r="D98" s="9" t="s">
        <v>67</v>
      </c>
      <c r="E98" s="9" t="s">
        <v>56</v>
      </c>
      <c r="F98" s="9" t="s">
        <v>68</v>
      </c>
      <c r="G98" s="15">
        <v>100.0</v>
      </c>
      <c r="H98" s="16">
        <v>4.29</v>
      </c>
      <c r="I98" s="16">
        <f t="shared" si="1"/>
        <v>429</v>
      </c>
    </row>
    <row r="99" ht="15.0" customHeight="1">
      <c r="A99" s="9" t="s">
        <v>121</v>
      </c>
      <c r="B99" s="14">
        <v>45866.0</v>
      </c>
      <c r="C99" s="9" t="s">
        <v>37</v>
      </c>
      <c r="D99" s="9" t="s">
        <v>67</v>
      </c>
      <c r="E99" s="9" t="s">
        <v>54</v>
      </c>
      <c r="F99" s="9" t="s">
        <v>55</v>
      </c>
      <c r="G99" s="15">
        <v>1558.0</v>
      </c>
      <c r="H99" s="16">
        <v>5.99</v>
      </c>
      <c r="I99" s="16">
        <f t="shared" si="1"/>
        <v>9332.42</v>
      </c>
    </row>
    <row r="100" ht="15.0" customHeight="1">
      <c r="A100" s="9" t="s">
        <v>122</v>
      </c>
      <c r="B100" s="14">
        <v>45868.0</v>
      </c>
      <c r="C100" s="9" t="s">
        <v>41</v>
      </c>
      <c r="D100" s="9" t="s">
        <v>86</v>
      </c>
      <c r="E100" s="9" t="s">
        <v>71</v>
      </c>
      <c r="F100" s="9" t="s">
        <v>72</v>
      </c>
      <c r="G100" s="15">
        <v>271.0</v>
      </c>
      <c r="H100" s="16">
        <v>3.19</v>
      </c>
      <c r="I100" s="16">
        <f t="shared" si="1"/>
        <v>864.49</v>
      </c>
    </row>
    <row r="101" ht="15.0" customHeight="1">
      <c r="A101" s="9" t="s">
        <v>122</v>
      </c>
      <c r="B101" s="14">
        <v>45868.0</v>
      </c>
      <c r="C101" s="9" t="s">
        <v>41</v>
      </c>
      <c r="D101" s="9" t="s">
        <v>86</v>
      </c>
      <c r="E101" s="9" t="s">
        <v>58</v>
      </c>
      <c r="F101" s="9" t="s">
        <v>65</v>
      </c>
      <c r="G101" s="15">
        <v>1836.0</v>
      </c>
      <c r="H101" s="16">
        <v>8.99</v>
      </c>
      <c r="I101" s="16">
        <f t="shared" si="1"/>
        <v>16505.64</v>
      </c>
    </row>
    <row r="102" ht="15.0" customHeight="1">
      <c r="A102" s="9" t="s">
        <v>122</v>
      </c>
      <c r="B102" s="14">
        <v>45868.0</v>
      </c>
      <c r="C102" s="9" t="s">
        <v>41</v>
      </c>
      <c r="D102" s="9" t="s">
        <v>86</v>
      </c>
      <c r="E102" s="9" t="s">
        <v>56</v>
      </c>
      <c r="F102" s="9" t="s">
        <v>57</v>
      </c>
      <c r="G102" s="15">
        <v>1808.0</v>
      </c>
      <c r="H102" s="16">
        <v>3.49</v>
      </c>
      <c r="I102" s="16">
        <f t="shared" si="1"/>
        <v>6309.92</v>
      </c>
    </row>
    <row r="103" ht="15.0" customHeight="1">
      <c r="A103" s="9" t="s">
        <v>123</v>
      </c>
      <c r="B103" s="14">
        <v>45760.0</v>
      </c>
      <c r="C103" s="9" t="s">
        <v>32</v>
      </c>
      <c r="D103" s="9" t="s">
        <v>67</v>
      </c>
      <c r="E103" s="9" t="s">
        <v>54</v>
      </c>
      <c r="F103" s="9" t="s">
        <v>55</v>
      </c>
      <c r="G103" s="15">
        <v>506.0</v>
      </c>
      <c r="H103" s="16">
        <v>5.99</v>
      </c>
      <c r="I103" s="16">
        <f t="shared" si="1"/>
        <v>3030.94</v>
      </c>
    </row>
    <row r="104" ht="15.0" customHeight="1">
      <c r="A104" s="9" t="s">
        <v>123</v>
      </c>
      <c r="B104" s="14">
        <v>45760.0</v>
      </c>
      <c r="C104" s="9" t="s">
        <v>32</v>
      </c>
      <c r="D104" s="9" t="s">
        <v>67</v>
      </c>
      <c r="E104" s="9" t="s">
        <v>71</v>
      </c>
      <c r="F104" s="9" t="s">
        <v>74</v>
      </c>
      <c r="G104" s="15">
        <v>1401.0</v>
      </c>
      <c r="H104" s="16">
        <v>1.89</v>
      </c>
      <c r="I104" s="16">
        <f t="shared" si="1"/>
        <v>2647.89</v>
      </c>
    </row>
    <row r="105" ht="15.0" customHeight="1">
      <c r="A105" s="9" t="s">
        <v>124</v>
      </c>
      <c r="B105" s="14">
        <v>45826.0</v>
      </c>
      <c r="C105" s="9" t="s">
        <v>29</v>
      </c>
      <c r="D105" s="9" t="s">
        <v>67</v>
      </c>
      <c r="E105" s="9" t="s">
        <v>56</v>
      </c>
      <c r="F105" s="9" t="s">
        <v>68</v>
      </c>
      <c r="G105" s="15">
        <v>1363.0</v>
      </c>
      <c r="H105" s="16">
        <v>4.29</v>
      </c>
      <c r="I105" s="16">
        <f t="shared" si="1"/>
        <v>5847.27</v>
      </c>
    </row>
    <row r="106" ht="15.0" customHeight="1">
      <c r="A106" s="9" t="s">
        <v>124</v>
      </c>
      <c r="B106" s="14">
        <v>45826.0</v>
      </c>
      <c r="C106" s="9" t="s">
        <v>29</v>
      </c>
      <c r="D106" s="9" t="s">
        <v>67</v>
      </c>
      <c r="E106" s="9" t="s">
        <v>71</v>
      </c>
      <c r="F106" s="9" t="s">
        <v>72</v>
      </c>
      <c r="G106" s="15">
        <v>868.0</v>
      </c>
      <c r="H106" s="16">
        <v>3.19</v>
      </c>
      <c r="I106" s="16">
        <f t="shared" si="1"/>
        <v>2768.92</v>
      </c>
    </row>
    <row r="107" ht="15.0" customHeight="1">
      <c r="A107" s="9" t="s">
        <v>125</v>
      </c>
      <c r="B107" s="14">
        <v>45932.0</v>
      </c>
      <c r="C107" s="9" t="s">
        <v>36</v>
      </c>
      <c r="D107" s="9" t="s">
        <v>53</v>
      </c>
      <c r="E107" s="9" t="s">
        <v>56</v>
      </c>
      <c r="F107" s="9" t="s">
        <v>68</v>
      </c>
      <c r="G107" s="15">
        <v>415.0</v>
      </c>
      <c r="H107" s="16">
        <v>4.29</v>
      </c>
      <c r="I107" s="16">
        <f t="shared" si="1"/>
        <v>1780.35</v>
      </c>
    </row>
    <row r="108" ht="15.0" customHeight="1">
      <c r="A108" s="9" t="s">
        <v>125</v>
      </c>
      <c r="B108" s="14">
        <v>45932.0</v>
      </c>
      <c r="C108" s="9" t="s">
        <v>36</v>
      </c>
      <c r="D108" s="9" t="s">
        <v>53</v>
      </c>
      <c r="E108" s="9" t="s">
        <v>58</v>
      </c>
      <c r="F108" s="9" t="s">
        <v>59</v>
      </c>
      <c r="G108" s="15">
        <v>593.0</v>
      </c>
      <c r="H108" s="16">
        <v>3.79</v>
      </c>
      <c r="I108" s="16">
        <f t="shared" si="1"/>
        <v>2247.47</v>
      </c>
    </row>
    <row r="109" ht="15.0" customHeight="1">
      <c r="A109" s="9" t="s">
        <v>126</v>
      </c>
      <c r="B109" s="14">
        <v>45963.0</v>
      </c>
      <c r="C109" s="9" t="s">
        <v>29</v>
      </c>
      <c r="D109" s="9" t="s">
        <v>67</v>
      </c>
      <c r="E109" s="9" t="s">
        <v>54</v>
      </c>
      <c r="F109" s="9" t="s">
        <v>77</v>
      </c>
      <c r="G109" s="15">
        <v>943.0</v>
      </c>
      <c r="H109" s="16">
        <v>7.49</v>
      </c>
      <c r="I109" s="16">
        <f t="shared" si="1"/>
        <v>7063.07</v>
      </c>
    </row>
    <row r="110" ht="15.0" customHeight="1">
      <c r="A110" s="9" t="s">
        <v>126</v>
      </c>
      <c r="B110" s="14">
        <v>45963.0</v>
      </c>
      <c r="C110" s="9" t="s">
        <v>29</v>
      </c>
      <c r="D110" s="9" t="s">
        <v>67</v>
      </c>
      <c r="E110" s="9" t="s">
        <v>58</v>
      </c>
      <c r="F110" s="9" t="s">
        <v>59</v>
      </c>
      <c r="G110" s="15">
        <v>1097.0</v>
      </c>
      <c r="H110" s="16">
        <v>3.79</v>
      </c>
      <c r="I110" s="16">
        <f t="shared" si="1"/>
        <v>4157.63</v>
      </c>
    </row>
    <row r="111" ht="15.0" customHeight="1">
      <c r="A111" s="9" t="s">
        <v>127</v>
      </c>
      <c r="B111" s="14">
        <v>45953.0</v>
      </c>
      <c r="C111" s="9" t="s">
        <v>29</v>
      </c>
      <c r="D111" s="9" t="s">
        <v>67</v>
      </c>
      <c r="E111" s="9" t="s">
        <v>54</v>
      </c>
      <c r="F111" s="9" t="s">
        <v>55</v>
      </c>
      <c r="G111" s="15">
        <v>1501.0</v>
      </c>
      <c r="H111" s="16">
        <v>5.99</v>
      </c>
      <c r="I111" s="16">
        <f t="shared" si="1"/>
        <v>8990.99</v>
      </c>
    </row>
    <row r="112" ht="15.0" customHeight="1">
      <c r="A112" s="9" t="s">
        <v>128</v>
      </c>
      <c r="B112" s="14">
        <v>45924.0</v>
      </c>
      <c r="C112" s="9" t="s">
        <v>32</v>
      </c>
      <c r="D112" s="9" t="s">
        <v>67</v>
      </c>
      <c r="E112" s="9" t="s">
        <v>71</v>
      </c>
      <c r="F112" s="9" t="s">
        <v>74</v>
      </c>
      <c r="G112" s="15">
        <v>1993.0</v>
      </c>
      <c r="H112" s="16">
        <v>1.89</v>
      </c>
      <c r="I112" s="16">
        <f t="shared" si="1"/>
        <v>3766.77</v>
      </c>
    </row>
    <row r="113" ht="15.0" customHeight="1">
      <c r="A113" s="9" t="s">
        <v>128</v>
      </c>
      <c r="B113" s="14">
        <v>45924.0</v>
      </c>
      <c r="C113" s="9" t="s">
        <v>32</v>
      </c>
      <c r="D113" s="9" t="s">
        <v>67</v>
      </c>
      <c r="E113" s="9" t="s">
        <v>58</v>
      </c>
      <c r="F113" s="9" t="s">
        <v>59</v>
      </c>
      <c r="G113" s="15">
        <v>1935.0</v>
      </c>
      <c r="H113" s="16">
        <v>3.79</v>
      </c>
      <c r="I113" s="16">
        <f t="shared" si="1"/>
        <v>7333.65</v>
      </c>
    </row>
    <row r="114" ht="15.0" customHeight="1">
      <c r="A114" s="9" t="s">
        <v>128</v>
      </c>
      <c r="B114" s="14">
        <v>45924.0</v>
      </c>
      <c r="C114" s="9" t="s">
        <v>32</v>
      </c>
      <c r="D114" s="9" t="s">
        <v>67</v>
      </c>
      <c r="E114" s="9" t="s">
        <v>54</v>
      </c>
      <c r="F114" s="9" t="s">
        <v>77</v>
      </c>
      <c r="G114" s="15">
        <v>1326.0</v>
      </c>
      <c r="H114" s="16">
        <v>7.49</v>
      </c>
      <c r="I114" s="16">
        <f t="shared" si="1"/>
        <v>9931.74</v>
      </c>
    </row>
    <row r="115" ht="15.0" customHeight="1">
      <c r="A115" s="9" t="s">
        <v>129</v>
      </c>
      <c r="B115" s="14">
        <v>45721.0</v>
      </c>
      <c r="C115" s="9" t="s">
        <v>32</v>
      </c>
      <c r="D115" s="9" t="s">
        <v>67</v>
      </c>
      <c r="E115" s="9" t="s">
        <v>54</v>
      </c>
      <c r="F115" s="9" t="s">
        <v>70</v>
      </c>
      <c r="G115" s="15">
        <v>886.0</v>
      </c>
      <c r="H115" s="16">
        <v>4.49</v>
      </c>
      <c r="I115" s="16">
        <f t="shared" si="1"/>
        <v>3978.14</v>
      </c>
    </row>
    <row r="116" ht="15.0" customHeight="1">
      <c r="A116" s="9" t="s">
        <v>129</v>
      </c>
      <c r="B116" s="14">
        <v>45721.0</v>
      </c>
      <c r="C116" s="9" t="s">
        <v>32</v>
      </c>
      <c r="D116" s="9" t="s">
        <v>67</v>
      </c>
      <c r="E116" s="9" t="s">
        <v>58</v>
      </c>
      <c r="F116" s="9" t="s">
        <v>65</v>
      </c>
      <c r="G116" s="15">
        <v>874.0</v>
      </c>
      <c r="H116" s="16">
        <v>8.99</v>
      </c>
      <c r="I116" s="16">
        <f t="shared" si="1"/>
        <v>7857.26</v>
      </c>
    </row>
    <row r="117" ht="15.0" customHeight="1">
      <c r="A117" s="9" t="s">
        <v>129</v>
      </c>
      <c r="B117" s="14">
        <v>45721.0</v>
      </c>
      <c r="C117" s="9" t="s">
        <v>32</v>
      </c>
      <c r="D117" s="9" t="s">
        <v>67</v>
      </c>
      <c r="E117" s="9" t="s">
        <v>71</v>
      </c>
      <c r="F117" s="9" t="s">
        <v>72</v>
      </c>
      <c r="G117" s="15">
        <v>655.0</v>
      </c>
      <c r="H117" s="16">
        <v>3.19</v>
      </c>
      <c r="I117" s="16">
        <f t="shared" si="1"/>
        <v>2089.45</v>
      </c>
    </row>
    <row r="118" ht="15.0" customHeight="1">
      <c r="A118" s="9" t="s">
        <v>130</v>
      </c>
      <c r="B118" s="14">
        <v>45756.0</v>
      </c>
      <c r="C118" s="9" t="s">
        <v>33</v>
      </c>
      <c r="D118" s="9" t="s">
        <v>61</v>
      </c>
      <c r="E118" s="9" t="s">
        <v>58</v>
      </c>
      <c r="F118" s="9" t="s">
        <v>59</v>
      </c>
      <c r="G118" s="15">
        <v>1898.0</v>
      </c>
      <c r="H118" s="16">
        <v>3.79</v>
      </c>
      <c r="I118" s="16">
        <f t="shared" si="1"/>
        <v>7193.42</v>
      </c>
    </row>
    <row r="119" ht="15.0" customHeight="1">
      <c r="A119" s="9" t="s">
        <v>130</v>
      </c>
      <c r="B119" s="14">
        <v>45756.0</v>
      </c>
      <c r="C119" s="9" t="s">
        <v>33</v>
      </c>
      <c r="D119" s="9" t="s">
        <v>61</v>
      </c>
      <c r="E119" s="9" t="s">
        <v>54</v>
      </c>
      <c r="F119" s="9" t="s">
        <v>55</v>
      </c>
      <c r="G119" s="15">
        <v>1310.0</v>
      </c>
      <c r="H119" s="16">
        <v>5.99</v>
      </c>
      <c r="I119" s="16">
        <f t="shared" si="1"/>
        <v>7846.9</v>
      </c>
    </row>
    <row r="120" ht="15.0" customHeight="1">
      <c r="A120" s="9" t="s">
        <v>131</v>
      </c>
      <c r="B120" s="14">
        <v>45865.0</v>
      </c>
      <c r="C120" s="9" t="s">
        <v>33</v>
      </c>
      <c r="D120" s="9" t="s">
        <v>61</v>
      </c>
      <c r="E120" s="9" t="s">
        <v>56</v>
      </c>
      <c r="F120" s="9" t="s">
        <v>57</v>
      </c>
      <c r="G120" s="15">
        <v>930.0</v>
      </c>
      <c r="H120" s="16">
        <v>3.49</v>
      </c>
      <c r="I120" s="16">
        <f t="shared" si="1"/>
        <v>3245.7</v>
      </c>
    </row>
    <row r="121" ht="15.0" customHeight="1">
      <c r="A121" s="9" t="s">
        <v>131</v>
      </c>
      <c r="B121" s="14">
        <v>45865.0</v>
      </c>
      <c r="C121" s="9" t="s">
        <v>33</v>
      </c>
      <c r="D121" s="9" t="s">
        <v>61</v>
      </c>
      <c r="E121" s="9" t="s">
        <v>71</v>
      </c>
      <c r="F121" s="9" t="s">
        <v>72</v>
      </c>
      <c r="G121" s="15">
        <v>1292.0</v>
      </c>
      <c r="H121" s="16">
        <v>3.19</v>
      </c>
      <c r="I121" s="16">
        <f t="shared" si="1"/>
        <v>4121.48</v>
      </c>
    </row>
    <row r="122" ht="15.0" customHeight="1">
      <c r="A122" s="9" t="s">
        <v>131</v>
      </c>
      <c r="B122" s="14">
        <v>45865.0</v>
      </c>
      <c r="C122" s="9" t="s">
        <v>33</v>
      </c>
      <c r="D122" s="9" t="s">
        <v>61</v>
      </c>
      <c r="E122" s="9" t="s">
        <v>54</v>
      </c>
      <c r="F122" s="9" t="s">
        <v>70</v>
      </c>
      <c r="G122" s="15">
        <v>709.0</v>
      </c>
      <c r="H122" s="16">
        <v>4.49</v>
      </c>
      <c r="I122" s="16">
        <f t="shared" si="1"/>
        <v>3183.41</v>
      </c>
    </row>
    <row r="123" ht="15.0" customHeight="1">
      <c r="A123" s="9" t="s">
        <v>132</v>
      </c>
      <c r="B123" s="14">
        <v>45884.0</v>
      </c>
      <c r="C123" s="9" t="s">
        <v>32</v>
      </c>
      <c r="D123" s="9" t="s">
        <v>67</v>
      </c>
      <c r="E123" s="9" t="s">
        <v>71</v>
      </c>
      <c r="F123" s="9" t="s">
        <v>72</v>
      </c>
      <c r="G123" s="15">
        <v>397.0</v>
      </c>
      <c r="H123" s="16">
        <v>3.19</v>
      </c>
      <c r="I123" s="16">
        <f t="shared" si="1"/>
        <v>1266.43</v>
      </c>
    </row>
    <row r="124" ht="15.0" customHeight="1">
      <c r="A124" s="9" t="s">
        <v>132</v>
      </c>
      <c r="B124" s="14">
        <v>45884.0</v>
      </c>
      <c r="C124" s="9" t="s">
        <v>32</v>
      </c>
      <c r="D124" s="9" t="s">
        <v>67</v>
      </c>
      <c r="E124" s="9" t="s">
        <v>54</v>
      </c>
      <c r="F124" s="9" t="s">
        <v>70</v>
      </c>
      <c r="G124" s="15">
        <v>223.0</v>
      </c>
      <c r="H124" s="16">
        <v>4.49</v>
      </c>
      <c r="I124" s="16">
        <f t="shared" si="1"/>
        <v>1001.27</v>
      </c>
    </row>
    <row r="125" ht="15.0" customHeight="1">
      <c r="A125" s="9" t="s">
        <v>132</v>
      </c>
      <c r="B125" s="14">
        <v>45884.0</v>
      </c>
      <c r="C125" s="9" t="s">
        <v>32</v>
      </c>
      <c r="D125" s="9" t="s">
        <v>67</v>
      </c>
      <c r="E125" s="9" t="s">
        <v>58</v>
      </c>
      <c r="F125" s="9" t="s">
        <v>65</v>
      </c>
      <c r="G125" s="15">
        <v>1105.0</v>
      </c>
      <c r="H125" s="16">
        <v>8.99</v>
      </c>
      <c r="I125" s="16">
        <f t="shared" si="1"/>
        <v>9933.95</v>
      </c>
    </row>
    <row r="126" ht="15.0" customHeight="1">
      <c r="A126" s="9" t="s">
        <v>133</v>
      </c>
      <c r="B126" s="14">
        <v>45975.0</v>
      </c>
      <c r="C126" s="9" t="s">
        <v>36</v>
      </c>
      <c r="D126" s="9" t="s">
        <v>53</v>
      </c>
      <c r="E126" s="9" t="s">
        <v>56</v>
      </c>
      <c r="F126" s="9" t="s">
        <v>79</v>
      </c>
      <c r="G126" s="15">
        <v>685.0</v>
      </c>
      <c r="H126" s="16">
        <v>2.99</v>
      </c>
      <c r="I126" s="16">
        <f t="shared" si="1"/>
        <v>2048.15</v>
      </c>
    </row>
    <row r="127" ht="15.0" customHeight="1">
      <c r="A127" s="9" t="s">
        <v>133</v>
      </c>
      <c r="B127" s="14">
        <v>45975.0</v>
      </c>
      <c r="C127" s="9" t="s">
        <v>36</v>
      </c>
      <c r="D127" s="9" t="s">
        <v>53</v>
      </c>
      <c r="E127" s="9" t="s">
        <v>58</v>
      </c>
      <c r="F127" s="9" t="s">
        <v>62</v>
      </c>
      <c r="G127" s="15">
        <v>1701.0</v>
      </c>
      <c r="H127" s="16">
        <v>6.29</v>
      </c>
      <c r="I127" s="16">
        <f t="shared" si="1"/>
        <v>10699.29</v>
      </c>
    </row>
    <row r="128" ht="15.0" customHeight="1">
      <c r="A128" s="9" t="s">
        <v>134</v>
      </c>
      <c r="B128" s="14">
        <v>45670.0</v>
      </c>
      <c r="C128" s="9" t="s">
        <v>29</v>
      </c>
      <c r="D128" s="9" t="s">
        <v>67</v>
      </c>
      <c r="E128" s="9" t="s">
        <v>71</v>
      </c>
      <c r="F128" s="9" t="s">
        <v>87</v>
      </c>
      <c r="G128" s="15">
        <v>1301.0</v>
      </c>
      <c r="H128" s="16">
        <v>2.49</v>
      </c>
      <c r="I128" s="16">
        <f t="shared" si="1"/>
        <v>3239.49</v>
      </c>
    </row>
    <row r="129" ht="15.0" customHeight="1">
      <c r="A129" s="9" t="s">
        <v>135</v>
      </c>
      <c r="B129" s="14">
        <v>45695.0</v>
      </c>
      <c r="C129" s="9" t="s">
        <v>38</v>
      </c>
      <c r="D129" s="9" t="s">
        <v>61</v>
      </c>
      <c r="E129" s="9" t="s">
        <v>58</v>
      </c>
      <c r="F129" s="9" t="s">
        <v>59</v>
      </c>
      <c r="G129" s="15">
        <v>448.0</v>
      </c>
      <c r="H129" s="16">
        <v>3.79</v>
      </c>
      <c r="I129" s="16">
        <f t="shared" si="1"/>
        <v>1697.92</v>
      </c>
    </row>
    <row r="130" ht="15.0" customHeight="1">
      <c r="A130" s="9" t="s">
        <v>135</v>
      </c>
      <c r="B130" s="14">
        <v>45695.0</v>
      </c>
      <c r="C130" s="9" t="s">
        <v>38</v>
      </c>
      <c r="D130" s="9" t="s">
        <v>61</v>
      </c>
      <c r="E130" s="9" t="s">
        <v>54</v>
      </c>
      <c r="F130" s="9" t="s">
        <v>70</v>
      </c>
      <c r="G130" s="15">
        <v>1476.0</v>
      </c>
      <c r="H130" s="16">
        <v>4.49</v>
      </c>
      <c r="I130" s="16">
        <f t="shared" si="1"/>
        <v>6627.24</v>
      </c>
    </row>
    <row r="131" ht="15.0" customHeight="1">
      <c r="A131" s="9" t="s">
        <v>136</v>
      </c>
      <c r="B131" s="14">
        <v>45862.0</v>
      </c>
      <c r="C131" s="9" t="s">
        <v>32</v>
      </c>
      <c r="D131" s="9" t="s">
        <v>67</v>
      </c>
      <c r="E131" s="9" t="s">
        <v>71</v>
      </c>
      <c r="F131" s="9" t="s">
        <v>72</v>
      </c>
      <c r="G131" s="15">
        <v>1458.0</v>
      </c>
      <c r="H131" s="16">
        <v>3.19</v>
      </c>
      <c r="I131" s="16">
        <f t="shared" si="1"/>
        <v>4651.02</v>
      </c>
    </row>
    <row r="132" ht="15.0" customHeight="1">
      <c r="A132" s="9" t="s">
        <v>137</v>
      </c>
      <c r="B132" s="14">
        <v>45712.0</v>
      </c>
      <c r="C132" s="9" t="s">
        <v>29</v>
      </c>
      <c r="D132" s="9" t="s">
        <v>67</v>
      </c>
      <c r="E132" s="9" t="s">
        <v>71</v>
      </c>
      <c r="F132" s="9" t="s">
        <v>72</v>
      </c>
      <c r="G132" s="15">
        <v>1110.0</v>
      </c>
      <c r="H132" s="16">
        <v>3.19</v>
      </c>
      <c r="I132" s="16">
        <f t="shared" si="1"/>
        <v>3540.9</v>
      </c>
    </row>
    <row r="133" ht="15.0" customHeight="1">
      <c r="A133" s="9" t="s">
        <v>137</v>
      </c>
      <c r="B133" s="14">
        <v>45712.0</v>
      </c>
      <c r="C133" s="9" t="s">
        <v>29</v>
      </c>
      <c r="D133" s="9" t="s">
        <v>67</v>
      </c>
      <c r="E133" s="9" t="s">
        <v>56</v>
      </c>
      <c r="F133" s="9" t="s">
        <v>68</v>
      </c>
      <c r="G133" s="15">
        <v>152.0</v>
      </c>
      <c r="H133" s="16">
        <v>4.29</v>
      </c>
      <c r="I133" s="16">
        <f t="shared" si="1"/>
        <v>652.08</v>
      </c>
    </row>
    <row r="134" ht="15.0" customHeight="1">
      <c r="A134" s="9" t="s">
        <v>138</v>
      </c>
      <c r="B134" s="14">
        <v>45720.0</v>
      </c>
      <c r="C134" s="9" t="s">
        <v>33</v>
      </c>
      <c r="D134" s="9" t="s">
        <v>61</v>
      </c>
      <c r="E134" s="9" t="s">
        <v>71</v>
      </c>
      <c r="F134" s="9" t="s">
        <v>72</v>
      </c>
      <c r="G134" s="15">
        <v>1137.0</v>
      </c>
      <c r="H134" s="16">
        <v>3.19</v>
      </c>
      <c r="I134" s="16">
        <f t="shared" si="1"/>
        <v>3627.03</v>
      </c>
    </row>
    <row r="135" ht="15.0" customHeight="1">
      <c r="A135" s="9" t="s">
        <v>138</v>
      </c>
      <c r="B135" s="14">
        <v>45720.0</v>
      </c>
      <c r="C135" s="9" t="s">
        <v>33</v>
      </c>
      <c r="D135" s="9" t="s">
        <v>61</v>
      </c>
      <c r="E135" s="9" t="s">
        <v>58</v>
      </c>
      <c r="F135" s="9" t="s">
        <v>59</v>
      </c>
      <c r="G135" s="15">
        <v>1269.0</v>
      </c>
      <c r="H135" s="16">
        <v>3.79</v>
      </c>
      <c r="I135" s="16">
        <f t="shared" si="1"/>
        <v>4809.51</v>
      </c>
    </row>
    <row r="136" ht="15.0" customHeight="1">
      <c r="A136" s="9" t="s">
        <v>139</v>
      </c>
      <c r="B136" s="14">
        <v>45884.0</v>
      </c>
      <c r="C136" s="9" t="s">
        <v>32</v>
      </c>
      <c r="D136" s="9" t="s">
        <v>67</v>
      </c>
      <c r="E136" s="9" t="s">
        <v>58</v>
      </c>
      <c r="F136" s="9" t="s">
        <v>62</v>
      </c>
      <c r="G136" s="15">
        <v>1573.0</v>
      </c>
      <c r="H136" s="16">
        <v>6.29</v>
      </c>
      <c r="I136" s="16">
        <f t="shared" si="1"/>
        <v>9894.17</v>
      </c>
    </row>
    <row r="137" ht="15.0" customHeight="1">
      <c r="A137" s="9" t="s">
        <v>139</v>
      </c>
      <c r="B137" s="14">
        <v>45884.0</v>
      </c>
      <c r="C137" s="9" t="s">
        <v>32</v>
      </c>
      <c r="D137" s="9" t="s">
        <v>67</v>
      </c>
      <c r="E137" s="9" t="s">
        <v>54</v>
      </c>
      <c r="F137" s="9" t="s">
        <v>77</v>
      </c>
      <c r="G137" s="15">
        <v>971.0</v>
      </c>
      <c r="H137" s="16">
        <v>7.49</v>
      </c>
      <c r="I137" s="16">
        <f t="shared" si="1"/>
        <v>7272.79</v>
      </c>
    </row>
    <row r="138" ht="15.0" customHeight="1">
      <c r="A138" s="9" t="s">
        <v>139</v>
      </c>
      <c r="B138" s="14">
        <v>45884.0</v>
      </c>
      <c r="C138" s="9" t="s">
        <v>32</v>
      </c>
      <c r="D138" s="9" t="s">
        <v>67</v>
      </c>
      <c r="E138" s="9" t="s">
        <v>71</v>
      </c>
      <c r="F138" s="9" t="s">
        <v>87</v>
      </c>
      <c r="G138" s="15">
        <v>1589.0</v>
      </c>
      <c r="H138" s="16">
        <v>2.49</v>
      </c>
      <c r="I138" s="16">
        <f t="shared" si="1"/>
        <v>3956.61</v>
      </c>
    </row>
    <row r="139" ht="15.0" customHeight="1">
      <c r="A139" s="9" t="s">
        <v>140</v>
      </c>
      <c r="B139" s="14">
        <v>45984.0</v>
      </c>
      <c r="C139" s="9" t="s">
        <v>29</v>
      </c>
      <c r="D139" s="9" t="s">
        <v>67</v>
      </c>
      <c r="E139" s="9" t="s">
        <v>58</v>
      </c>
      <c r="F139" s="9" t="s">
        <v>62</v>
      </c>
      <c r="G139" s="15">
        <v>612.0</v>
      </c>
      <c r="H139" s="16">
        <v>6.29</v>
      </c>
      <c r="I139" s="16">
        <f t="shared" si="1"/>
        <v>3849.48</v>
      </c>
    </row>
    <row r="140" ht="15.0" customHeight="1">
      <c r="A140" s="9" t="s">
        <v>140</v>
      </c>
      <c r="B140" s="14">
        <v>45984.0</v>
      </c>
      <c r="C140" s="9" t="s">
        <v>29</v>
      </c>
      <c r="D140" s="9" t="s">
        <v>67</v>
      </c>
      <c r="E140" s="9" t="s">
        <v>54</v>
      </c>
      <c r="F140" s="9" t="s">
        <v>77</v>
      </c>
      <c r="G140" s="15">
        <v>208.0</v>
      </c>
      <c r="H140" s="16">
        <v>7.49</v>
      </c>
      <c r="I140" s="16">
        <f t="shared" si="1"/>
        <v>1557.92</v>
      </c>
    </row>
    <row r="141" ht="15.0" customHeight="1">
      <c r="A141" s="9" t="s">
        <v>141</v>
      </c>
      <c r="B141" s="14">
        <v>45778.0</v>
      </c>
      <c r="C141" s="9" t="s">
        <v>36</v>
      </c>
      <c r="D141" s="9" t="s">
        <v>53</v>
      </c>
      <c r="E141" s="9" t="s">
        <v>54</v>
      </c>
      <c r="F141" s="9" t="s">
        <v>70</v>
      </c>
      <c r="G141" s="15">
        <v>215.0</v>
      </c>
      <c r="H141" s="16">
        <v>4.49</v>
      </c>
      <c r="I141" s="16">
        <f t="shared" si="1"/>
        <v>965.35</v>
      </c>
    </row>
    <row r="142" ht="15.0" customHeight="1">
      <c r="A142" s="9" t="s">
        <v>141</v>
      </c>
      <c r="B142" s="14">
        <v>45778.0</v>
      </c>
      <c r="C142" s="9" t="s">
        <v>36</v>
      </c>
      <c r="D142" s="9" t="s">
        <v>53</v>
      </c>
      <c r="E142" s="9" t="s">
        <v>71</v>
      </c>
      <c r="F142" s="9" t="s">
        <v>74</v>
      </c>
      <c r="G142" s="15">
        <v>358.0</v>
      </c>
      <c r="H142" s="16">
        <v>1.89</v>
      </c>
      <c r="I142" s="16">
        <f t="shared" si="1"/>
        <v>676.62</v>
      </c>
    </row>
    <row r="143" ht="15.0" customHeight="1">
      <c r="A143" s="9" t="s">
        <v>142</v>
      </c>
      <c r="B143" s="14">
        <v>46013.0</v>
      </c>
      <c r="C143" s="9" t="s">
        <v>29</v>
      </c>
      <c r="D143" s="9" t="s">
        <v>67</v>
      </c>
      <c r="E143" s="9" t="s">
        <v>71</v>
      </c>
      <c r="F143" s="9" t="s">
        <v>74</v>
      </c>
      <c r="G143" s="15">
        <v>899.0</v>
      </c>
      <c r="H143" s="16">
        <v>1.89</v>
      </c>
      <c r="I143" s="16">
        <f t="shared" si="1"/>
        <v>1699.11</v>
      </c>
    </row>
    <row r="144" ht="15.0" customHeight="1">
      <c r="A144" s="9" t="s">
        <v>143</v>
      </c>
      <c r="B144" s="14">
        <v>45935.0</v>
      </c>
      <c r="C144" s="9" t="s">
        <v>32</v>
      </c>
      <c r="D144" s="9" t="s">
        <v>67</v>
      </c>
      <c r="E144" s="9" t="s">
        <v>58</v>
      </c>
      <c r="F144" s="9" t="s">
        <v>62</v>
      </c>
      <c r="G144" s="15">
        <v>1755.0</v>
      </c>
      <c r="H144" s="16">
        <v>6.29</v>
      </c>
      <c r="I144" s="16">
        <f t="shared" si="1"/>
        <v>11038.95</v>
      </c>
    </row>
    <row r="145" ht="15.0" customHeight="1">
      <c r="A145" s="9" t="s">
        <v>143</v>
      </c>
      <c r="B145" s="14">
        <v>45935.0</v>
      </c>
      <c r="C145" s="9" t="s">
        <v>32</v>
      </c>
      <c r="D145" s="9" t="s">
        <v>67</v>
      </c>
      <c r="E145" s="9" t="s">
        <v>56</v>
      </c>
      <c r="F145" s="9" t="s">
        <v>68</v>
      </c>
      <c r="G145" s="15">
        <v>847.0</v>
      </c>
      <c r="H145" s="16">
        <v>4.29</v>
      </c>
      <c r="I145" s="16">
        <f t="shared" si="1"/>
        <v>3633.63</v>
      </c>
    </row>
    <row r="146" ht="15.0" customHeight="1">
      <c r="A146" s="9" t="s">
        <v>144</v>
      </c>
      <c r="B146" s="14">
        <v>45957.0</v>
      </c>
      <c r="C146" s="9" t="s">
        <v>41</v>
      </c>
      <c r="D146" s="9" t="s">
        <v>86</v>
      </c>
      <c r="E146" s="9" t="s">
        <v>56</v>
      </c>
      <c r="F146" s="9" t="s">
        <v>68</v>
      </c>
      <c r="G146" s="15">
        <v>62.0</v>
      </c>
      <c r="H146" s="16">
        <v>4.29</v>
      </c>
      <c r="I146" s="16">
        <f t="shared" si="1"/>
        <v>265.98</v>
      </c>
    </row>
    <row r="147" ht="15.0" customHeight="1">
      <c r="A147" s="9" t="s">
        <v>144</v>
      </c>
      <c r="B147" s="14">
        <v>45957.0</v>
      </c>
      <c r="C147" s="9" t="s">
        <v>41</v>
      </c>
      <c r="D147" s="9" t="s">
        <v>86</v>
      </c>
      <c r="E147" s="9" t="s">
        <v>54</v>
      </c>
      <c r="F147" s="9" t="s">
        <v>77</v>
      </c>
      <c r="G147" s="15">
        <v>661.0</v>
      </c>
      <c r="H147" s="16">
        <v>7.49</v>
      </c>
      <c r="I147" s="16">
        <f t="shared" si="1"/>
        <v>4950.89</v>
      </c>
    </row>
    <row r="148" ht="15.0" customHeight="1">
      <c r="A148" s="9" t="s">
        <v>144</v>
      </c>
      <c r="B148" s="14">
        <v>45957.0</v>
      </c>
      <c r="C148" s="9" t="s">
        <v>41</v>
      </c>
      <c r="D148" s="9" t="s">
        <v>86</v>
      </c>
      <c r="E148" s="9" t="s">
        <v>71</v>
      </c>
      <c r="F148" s="9" t="s">
        <v>87</v>
      </c>
      <c r="G148" s="15">
        <v>1797.0</v>
      </c>
      <c r="H148" s="16">
        <v>2.49</v>
      </c>
      <c r="I148" s="16">
        <f t="shared" si="1"/>
        <v>4474.53</v>
      </c>
    </row>
    <row r="149" ht="15.0" customHeight="1">
      <c r="A149" s="9" t="s">
        <v>145</v>
      </c>
      <c r="B149" s="14">
        <v>45872.0</v>
      </c>
      <c r="C149" s="9" t="s">
        <v>41</v>
      </c>
      <c r="D149" s="9" t="s">
        <v>86</v>
      </c>
      <c r="E149" s="9" t="s">
        <v>71</v>
      </c>
      <c r="F149" s="9" t="s">
        <v>87</v>
      </c>
      <c r="G149" s="15">
        <v>942.0</v>
      </c>
      <c r="H149" s="16">
        <v>2.49</v>
      </c>
      <c r="I149" s="16">
        <f t="shared" si="1"/>
        <v>2345.58</v>
      </c>
    </row>
    <row r="150" ht="15.0" customHeight="1">
      <c r="A150" s="9" t="s">
        <v>145</v>
      </c>
      <c r="B150" s="14">
        <v>45872.0</v>
      </c>
      <c r="C150" s="9" t="s">
        <v>41</v>
      </c>
      <c r="D150" s="9" t="s">
        <v>86</v>
      </c>
      <c r="E150" s="9" t="s">
        <v>58</v>
      </c>
      <c r="F150" s="9" t="s">
        <v>65</v>
      </c>
      <c r="G150" s="15">
        <v>109.0</v>
      </c>
      <c r="H150" s="16">
        <v>8.99</v>
      </c>
      <c r="I150" s="16">
        <f t="shared" si="1"/>
        <v>979.91</v>
      </c>
    </row>
    <row r="151" ht="15.0" customHeight="1">
      <c r="A151" s="9" t="s">
        <v>145</v>
      </c>
      <c r="B151" s="14">
        <v>45872.0</v>
      </c>
      <c r="C151" s="9" t="s">
        <v>41</v>
      </c>
      <c r="D151" s="9" t="s">
        <v>86</v>
      </c>
      <c r="E151" s="9" t="s">
        <v>56</v>
      </c>
      <c r="F151" s="9" t="s">
        <v>68</v>
      </c>
      <c r="G151" s="15">
        <v>738.0</v>
      </c>
      <c r="H151" s="16">
        <v>4.29</v>
      </c>
      <c r="I151" s="16">
        <f t="shared" si="1"/>
        <v>3166.02</v>
      </c>
    </row>
    <row r="152" ht="15.0" customHeight="1">
      <c r="A152" s="9" t="s">
        <v>146</v>
      </c>
      <c r="B152" s="14">
        <v>45865.0</v>
      </c>
      <c r="C152" s="9" t="s">
        <v>36</v>
      </c>
      <c r="D152" s="9" t="s">
        <v>53</v>
      </c>
      <c r="E152" s="9" t="s">
        <v>71</v>
      </c>
      <c r="F152" s="9" t="s">
        <v>72</v>
      </c>
      <c r="G152" s="15">
        <v>1143.0</v>
      </c>
      <c r="H152" s="16">
        <v>3.19</v>
      </c>
      <c r="I152" s="16">
        <f t="shared" si="1"/>
        <v>3646.17</v>
      </c>
    </row>
    <row r="153" ht="15.0" customHeight="1">
      <c r="A153" s="9" t="s">
        <v>146</v>
      </c>
      <c r="B153" s="14">
        <v>45865.0</v>
      </c>
      <c r="C153" s="9" t="s">
        <v>36</v>
      </c>
      <c r="D153" s="9" t="s">
        <v>53</v>
      </c>
      <c r="E153" s="9" t="s">
        <v>58</v>
      </c>
      <c r="F153" s="9" t="s">
        <v>62</v>
      </c>
      <c r="G153" s="15">
        <v>1907.0</v>
      </c>
      <c r="H153" s="16">
        <v>6.29</v>
      </c>
      <c r="I153" s="16">
        <f t="shared" si="1"/>
        <v>11995.03</v>
      </c>
    </row>
    <row r="154" ht="15.0" customHeight="1">
      <c r="A154" s="9" t="s">
        <v>146</v>
      </c>
      <c r="B154" s="14">
        <v>45865.0</v>
      </c>
      <c r="C154" s="9" t="s">
        <v>36</v>
      </c>
      <c r="D154" s="9" t="s">
        <v>53</v>
      </c>
      <c r="E154" s="9" t="s">
        <v>56</v>
      </c>
      <c r="F154" s="9" t="s">
        <v>68</v>
      </c>
      <c r="G154" s="15">
        <v>1262.0</v>
      </c>
      <c r="H154" s="16">
        <v>4.29</v>
      </c>
      <c r="I154" s="16">
        <f t="shared" si="1"/>
        <v>5413.98</v>
      </c>
    </row>
    <row r="155" ht="15.0" customHeight="1">
      <c r="A155" s="9" t="s">
        <v>147</v>
      </c>
      <c r="B155" s="14">
        <v>45671.0</v>
      </c>
      <c r="C155" s="9" t="s">
        <v>33</v>
      </c>
      <c r="D155" s="9" t="s">
        <v>61</v>
      </c>
      <c r="E155" s="9" t="s">
        <v>58</v>
      </c>
      <c r="F155" s="9" t="s">
        <v>62</v>
      </c>
      <c r="G155" s="15">
        <v>1825.0</v>
      </c>
      <c r="H155" s="16">
        <v>6.29</v>
      </c>
      <c r="I155" s="16">
        <f t="shared" si="1"/>
        <v>11479.25</v>
      </c>
    </row>
    <row r="156" ht="15.0" customHeight="1">
      <c r="A156" s="9" t="s">
        <v>148</v>
      </c>
      <c r="B156" s="14">
        <v>45683.0</v>
      </c>
      <c r="C156" s="9" t="s">
        <v>32</v>
      </c>
      <c r="D156" s="9" t="s">
        <v>67</v>
      </c>
      <c r="E156" s="9" t="s">
        <v>58</v>
      </c>
      <c r="F156" s="9" t="s">
        <v>62</v>
      </c>
      <c r="G156" s="15">
        <v>981.0</v>
      </c>
      <c r="H156" s="16">
        <v>6.29</v>
      </c>
      <c r="I156" s="16">
        <f t="shared" si="1"/>
        <v>6170.49</v>
      </c>
    </row>
    <row r="157" ht="15.0" customHeight="1">
      <c r="A157" s="9" t="s">
        <v>148</v>
      </c>
      <c r="B157" s="14">
        <v>45683.0</v>
      </c>
      <c r="C157" s="9" t="s">
        <v>32</v>
      </c>
      <c r="D157" s="9" t="s">
        <v>67</v>
      </c>
      <c r="E157" s="9" t="s">
        <v>71</v>
      </c>
      <c r="F157" s="9" t="s">
        <v>87</v>
      </c>
      <c r="G157" s="15">
        <v>741.0</v>
      </c>
      <c r="H157" s="16">
        <v>2.49</v>
      </c>
      <c r="I157" s="16">
        <f t="shared" si="1"/>
        <v>1845.09</v>
      </c>
    </row>
    <row r="158" ht="15.0" customHeight="1">
      <c r="A158" s="9" t="s">
        <v>149</v>
      </c>
      <c r="B158" s="14">
        <v>45852.0</v>
      </c>
      <c r="C158" s="9" t="s">
        <v>37</v>
      </c>
      <c r="D158" s="9" t="s">
        <v>67</v>
      </c>
      <c r="E158" s="9" t="s">
        <v>58</v>
      </c>
      <c r="F158" s="9" t="s">
        <v>62</v>
      </c>
      <c r="G158" s="15">
        <v>1013.0</v>
      </c>
      <c r="H158" s="16">
        <v>6.29</v>
      </c>
      <c r="I158" s="16">
        <f t="shared" si="1"/>
        <v>6371.77</v>
      </c>
    </row>
    <row r="159" ht="15.0" customHeight="1">
      <c r="A159" s="9" t="s">
        <v>149</v>
      </c>
      <c r="B159" s="14">
        <v>45852.0</v>
      </c>
      <c r="C159" s="9" t="s">
        <v>37</v>
      </c>
      <c r="D159" s="9" t="s">
        <v>67</v>
      </c>
      <c r="E159" s="9" t="s">
        <v>71</v>
      </c>
      <c r="F159" s="9" t="s">
        <v>74</v>
      </c>
      <c r="G159" s="15">
        <v>1584.0</v>
      </c>
      <c r="H159" s="16">
        <v>1.89</v>
      </c>
      <c r="I159" s="16">
        <f t="shared" si="1"/>
        <v>2993.76</v>
      </c>
    </row>
    <row r="160" ht="15.0" customHeight="1">
      <c r="A160" s="9" t="s">
        <v>150</v>
      </c>
      <c r="B160" s="14">
        <v>45837.0</v>
      </c>
      <c r="C160" s="9" t="s">
        <v>33</v>
      </c>
      <c r="D160" s="9" t="s">
        <v>61</v>
      </c>
      <c r="E160" s="9" t="s">
        <v>56</v>
      </c>
      <c r="F160" s="9" t="s">
        <v>79</v>
      </c>
      <c r="G160" s="15">
        <v>132.0</v>
      </c>
      <c r="H160" s="16">
        <v>2.99</v>
      </c>
      <c r="I160" s="16">
        <f t="shared" si="1"/>
        <v>394.68</v>
      </c>
    </row>
    <row r="161" ht="15.0" customHeight="1">
      <c r="A161" s="9" t="s">
        <v>151</v>
      </c>
      <c r="B161" s="14">
        <v>45784.0</v>
      </c>
      <c r="C161" s="9" t="s">
        <v>37</v>
      </c>
      <c r="D161" s="9" t="s">
        <v>67</v>
      </c>
      <c r="E161" s="9" t="s">
        <v>56</v>
      </c>
      <c r="F161" s="9" t="s">
        <v>79</v>
      </c>
      <c r="G161" s="15">
        <v>362.0</v>
      </c>
      <c r="H161" s="16">
        <v>2.99</v>
      </c>
      <c r="I161" s="16">
        <f t="shared" si="1"/>
        <v>1082.38</v>
      </c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autoFilter ref="$A$1:$I$161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0" t="s">
        <v>25</v>
      </c>
      <c r="B1" s="20" t="s">
        <v>27</v>
      </c>
      <c r="C1" s="20" t="s">
        <v>160</v>
      </c>
    </row>
    <row r="2">
      <c r="A2" s="21" t="str">
        <f>VLOOKUP('Customer Directory'!A2,'Customer Directory'!$A$2:$D$9,1,0)</f>
        <v>Walmart</v>
      </c>
      <c r="B2" s="21" t="str">
        <f>VLOOKUP('Customer Directory'!C2,'Customer Directory'!C2:D9,1,0)</f>
        <v>Karen Olsen</v>
      </c>
      <c r="C2" s="22">
        <f>VLOOKUP(A2, 'Task 1'!$A$2:$B$9, 2, FALSE)</f>
        <v>200370.44</v>
      </c>
    </row>
    <row r="3">
      <c r="A3" s="21" t="str">
        <f>VLOOKUP('Customer Directory'!A3,'Customer Directory'!A3:D10,1,0)</f>
        <v>Target</v>
      </c>
      <c r="B3" s="21" t="str">
        <f>VLOOKUP('Customer Directory'!C3,'Customer Directory'!C3:D10,1,0)</f>
        <v>Karen Olsen</v>
      </c>
      <c r="C3" s="22">
        <f>VLOOKUP(A3, 'Task 1'!$A$2:$B$9, 2, FALSE)</f>
        <v>175288.49</v>
      </c>
    </row>
    <row r="4">
      <c r="A4" s="21" t="str">
        <f>VLOOKUP('Customer Directory'!A4,'Customer Directory'!A4:D11,1,0)</f>
        <v>Kroger</v>
      </c>
      <c r="B4" s="21" t="str">
        <f>VLOOKUP('Customer Directory'!C4,'Customer Directory'!C4:D11,1,0)</f>
        <v>James Peralta</v>
      </c>
      <c r="C4" s="22">
        <f>VLOOKUP(A4, 'Task 1'!$A$2:$B$9, 2, FALSE)</f>
        <v>108722.51</v>
      </c>
    </row>
    <row r="5">
      <c r="A5" s="21" t="str">
        <f>VLOOKUP('Customer Directory'!A5,'Customer Directory'!A5:D12,1,0)</f>
        <v>Costco</v>
      </c>
      <c r="B5" s="21" t="str">
        <f>VLOOKUP('Customer Directory'!C5,'Customer Directory'!C5:D12,1,0)</f>
        <v>Karen Olsen</v>
      </c>
      <c r="C5" s="22">
        <f>VLOOKUP(A5, 'Task 1'!$A$2:$B$9, 2, FALSE)</f>
        <v>83275.99</v>
      </c>
    </row>
    <row r="6">
      <c r="A6" s="21" t="str">
        <f>VLOOKUP('Customer Directory'!A6,'Customer Directory'!A6:D13,1,0)</f>
        <v>Sam's Club</v>
      </c>
      <c r="B6" s="21" t="str">
        <f>VLOOKUP('Customer Directory'!C6,'Customer Directory'!C6:D13,1,0)</f>
        <v>James Peralta</v>
      </c>
      <c r="C6" s="22">
        <f>VLOOKUP(A6, 'Task 1'!$A$2:$B$9, 2, FALSE)</f>
        <v>39319.75</v>
      </c>
    </row>
    <row r="7">
      <c r="A7" s="21" t="str">
        <f>VLOOKUP('Customer Directory'!A7,'Customer Directory'!A7:D14,1,0)</f>
        <v>Meijer</v>
      </c>
      <c r="B7" s="21" t="str">
        <f>VLOOKUP('Customer Directory'!C7,'Customer Directory'!C7:D14,1,0)</f>
        <v>David Cho</v>
      </c>
      <c r="C7" s="22">
        <f>VLOOKUP(A7, 'Task 1'!$A$2:$B$9, 2, FALSE)</f>
        <v>16971.26</v>
      </c>
    </row>
    <row r="8">
      <c r="A8" s="21" t="str">
        <f>VLOOKUP('Customer Directory'!A8,'Customer Directory'!A8:D15,1,0)</f>
        <v>HEB</v>
      </c>
      <c r="B8" s="21" t="str">
        <f>VLOOKUP('Customer Directory'!C8,'Customer Directory'!C8:D15,1,0)</f>
        <v>Maria Santos</v>
      </c>
      <c r="C8" s="22">
        <f>VLOOKUP(A8, 'Task 1'!$A$2:$B$9, 2, FALSE)</f>
        <v>54528.77</v>
      </c>
    </row>
    <row r="9">
      <c r="A9" s="21" t="str">
        <f>VLOOKUP('Customer Directory'!A9,'Customer Directory'!A9:D16,1,0)</f>
        <v>Publix</v>
      </c>
      <c r="B9" s="21" t="str">
        <f>VLOOKUP('Customer Directory'!C9,'Customer Directory'!C9:D16,1,0)</f>
        <v>Maria Santos</v>
      </c>
      <c r="C9" s="22">
        <f>VLOOKUP(A9, 'Task 1'!$A$2:$B$9, 2, FALSE)</f>
        <v>24931.81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2026-04-09T02:32:43Z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